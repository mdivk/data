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C:\RXIE\Web\2017\alumnigolf2018.com\Scorecards\"/>
    </mc:Choice>
  </mc:AlternateContent>
  <xr:revisionPtr revIDLastSave="0" documentId="10_ncr:8100000_{0BCE906F-3AE3-4396-8E03-4E82951E8B3B}" xr6:coauthVersionLast="34" xr6:coauthVersionMax="34" xr10:uidLastSave="{00000000-0000-0000-0000-000000000000}"/>
  <bookViews>
    <workbookView xWindow="0" yWindow="0" windowWidth="18225" windowHeight="9255" xr2:uid="{00000000-000D-0000-FFFF-FFFF00000000}"/>
  </bookViews>
  <sheets>
    <sheet name="Course 1" sheetId="1" r:id="rId1"/>
    <sheet name="School" sheetId="4" r:id="rId2"/>
  </sheets>
  <externalReferences>
    <externalReference r:id="rId3"/>
  </externalReferences>
  <definedNames>
    <definedName name="CoursePar">[1]Summary!$B$8</definedName>
    <definedName name="OverUnders">'Course 1'!$Z$4:$AD$49</definedName>
    <definedName name="Schools">'Course 1'!$A$4:$A$49</definedName>
    <definedName name="Totals">'Course 1'!$Y$4:$Y$49</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5" i="1" l="1"/>
  <c r="F5" i="1"/>
  <c r="G5" i="1"/>
  <c r="H5" i="1"/>
  <c r="I5" i="1"/>
  <c r="J5" i="1"/>
  <c r="K5" i="1"/>
  <c r="L5" i="1"/>
  <c r="D21" i="1"/>
  <c r="D49" i="1"/>
  <c r="D47" i="1"/>
  <c r="D45" i="1"/>
  <c r="D43" i="1"/>
  <c r="D41" i="1"/>
  <c r="D39" i="1"/>
  <c r="D37" i="1"/>
  <c r="D35" i="1"/>
  <c r="D33" i="1"/>
  <c r="D31" i="1"/>
  <c r="D29" i="1"/>
  <c r="D27" i="1"/>
  <c r="D25" i="1"/>
  <c r="D23" i="1"/>
  <c r="D19" i="1"/>
  <c r="D17" i="1"/>
  <c r="D15" i="1"/>
  <c r="D13" i="1"/>
  <c r="D11" i="1"/>
  <c r="E9" i="1"/>
  <c r="F9" i="1"/>
  <c r="G9" i="1"/>
  <c r="H9" i="1"/>
  <c r="I9" i="1"/>
  <c r="J9" i="1"/>
  <c r="K9" i="1"/>
  <c r="L9" i="1"/>
  <c r="D9" i="1"/>
  <c r="E7" i="1"/>
  <c r="F7" i="1"/>
  <c r="G7" i="1"/>
  <c r="H7" i="1"/>
  <c r="I7" i="1"/>
  <c r="J7" i="1"/>
  <c r="K7" i="1"/>
  <c r="L7" i="1"/>
  <c r="D7" i="1"/>
  <c r="O49" i="1" l="1"/>
  <c r="P49" i="1"/>
  <c r="Q49" i="1"/>
  <c r="R49" i="1"/>
  <c r="S49" i="1"/>
  <c r="T49" i="1"/>
  <c r="U49" i="1"/>
  <c r="V49" i="1"/>
  <c r="N49" i="1"/>
  <c r="F49" i="1"/>
  <c r="G49" i="1"/>
  <c r="H49" i="1"/>
  <c r="I49" i="1"/>
  <c r="J49" i="1"/>
  <c r="K49" i="1"/>
  <c r="L49" i="1"/>
  <c r="E49" i="1"/>
  <c r="M49" i="1" s="1"/>
  <c r="O47" i="1"/>
  <c r="P47" i="1"/>
  <c r="Q47" i="1"/>
  <c r="R47" i="1"/>
  <c r="S47" i="1"/>
  <c r="T47" i="1"/>
  <c r="U47" i="1"/>
  <c r="V47" i="1"/>
  <c r="N47" i="1"/>
  <c r="F47" i="1"/>
  <c r="G47" i="1"/>
  <c r="H47" i="1"/>
  <c r="I47" i="1"/>
  <c r="J47" i="1"/>
  <c r="K47" i="1"/>
  <c r="L47" i="1"/>
  <c r="E47" i="1"/>
  <c r="O45" i="1"/>
  <c r="P45" i="1"/>
  <c r="Q45" i="1"/>
  <c r="R45" i="1"/>
  <c r="S45" i="1"/>
  <c r="T45" i="1"/>
  <c r="U45" i="1"/>
  <c r="V45" i="1"/>
  <c r="N45" i="1"/>
  <c r="F45" i="1"/>
  <c r="G45" i="1"/>
  <c r="H45" i="1"/>
  <c r="I45" i="1"/>
  <c r="J45" i="1"/>
  <c r="K45" i="1"/>
  <c r="L45" i="1"/>
  <c r="E45" i="1"/>
  <c r="O43" i="1"/>
  <c r="P43" i="1"/>
  <c r="Q43" i="1"/>
  <c r="R43" i="1"/>
  <c r="S43" i="1"/>
  <c r="T43" i="1"/>
  <c r="U43" i="1"/>
  <c r="V43" i="1"/>
  <c r="N43" i="1"/>
  <c r="X43" i="1" s="1"/>
  <c r="F43" i="1"/>
  <c r="G43" i="1"/>
  <c r="H43" i="1"/>
  <c r="I43" i="1"/>
  <c r="J43" i="1"/>
  <c r="K43" i="1"/>
  <c r="L43" i="1"/>
  <c r="E43" i="1"/>
  <c r="M43" i="1" s="1"/>
  <c r="O41" i="1"/>
  <c r="P41" i="1"/>
  <c r="Q41" i="1"/>
  <c r="R41" i="1"/>
  <c r="S41" i="1"/>
  <c r="T41" i="1"/>
  <c r="U41" i="1"/>
  <c r="V41" i="1"/>
  <c r="N41" i="1"/>
  <c r="X41" i="1" s="1"/>
  <c r="F41" i="1"/>
  <c r="G41" i="1"/>
  <c r="H41" i="1"/>
  <c r="I41" i="1"/>
  <c r="J41" i="1"/>
  <c r="K41" i="1"/>
  <c r="L41" i="1"/>
  <c r="E41" i="1"/>
  <c r="O39" i="1"/>
  <c r="P39" i="1"/>
  <c r="Q39" i="1"/>
  <c r="X39" i="1" s="1"/>
  <c r="R39" i="1"/>
  <c r="S39" i="1"/>
  <c r="T39" i="1"/>
  <c r="U39" i="1"/>
  <c r="V39" i="1"/>
  <c r="N39" i="1"/>
  <c r="F39" i="1"/>
  <c r="G39" i="1"/>
  <c r="H39" i="1"/>
  <c r="I39" i="1"/>
  <c r="J39" i="1"/>
  <c r="K39" i="1"/>
  <c r="L39" i="1"/>
  <c r="E39" i="1"/>
  <c r="M39" i="1" s="1"/>
  <c r="O37" i="1"/>
  <c r="P37" i="1"/>
  <c r="X37" i="1" s="1"/>
  <c r="Q37" i="1"/>
  <c r="R37" i="1"/>
  <c r="S37" i="1"/>
  <c r="T37" i="1"/>
  <c r="U37" i="1"/>
  <c r="V37" i="1"/>
  <c r="N37" i="1"/>
  <c r="F37" i="1"/>
  <c r="G37" i="1"/>
  <c r="H37" i="1"/>
  <c r="I37" i="1"/>
  <c r="J37" i="1"/>
  <c r="K37" i="1"/>
  <c r="L37" i="1"/>
  <c r="E37" i="1"/>
  <c r="O35" i="1"/>
  <c r="P35" i="1"/>
  <c r="Q35" i="1"/>
  <c r="R35" i="1"/>
  <c r="S35" i="1"/>
  <c r="T35" i="1"/>
  <c r="U35" i="1"/>
  <c r="V35" i="1"/>
  <c r="N35" i="1"/>
  <c r="F35" i="1"/>
  <c r="G35" i="1"/>
  <c r="H35" i="1"/>
  <c r="I35" i="1"/>
  <c r="J35" i="1"/>
  <c r="K35" i="1"/>
  <c r="L35" i="1"/>
  <c r="E35" i="1"/>
  <c r="O33" i="1"/>
  <c r="P33" i="1"/>
  <c r="Q33" i="1"/>
  <c r="R33" i="1"/>
  <c r="S33" i="1"/>
  <c r="T33" i="1"/>
  <c r="U33" i="1"/>
  <c r="V33" i="1"/>
  <c r="N33" i="1"/>
  <c r="F33" i="1"/>
  <c r="G33" i="1"/>
  <c r="H33" i="1"/>
  <c r="I33" i="1"/>
  <c r="J33" i="1"/>
  <c r="K33" i="1"/>
  <c r="L33" i="1"/>
  <c r="E33" i="1"/>
  <c r="N31" i="1"/>
  <c r="F31" i="1"/>
  <c r="G31" i="1"/>
  <c r="H31" i="1"/>
  <c r="I31" i="1"/>
  <c r="J31" i="1"/>
  <c r="K31" i="1"/>
  <c r="L31" i="1"/>
  <c r="E31" i="1"/>
  <c r="O29" i="1"/>
  <c r="P29" i="1"/>
  <c r="Q29" i="1"/>
  <c r="R29" i="1"/>
  <c r="S29" i="1"/>
  <c r="T29" i="1"/>
  <c r="U29" i="1"/>
  <c r="V29" i="1"/>
  <c r="N29" i="1"/>
  <c r="F29" i="1"/>
  <c r="G29" i="1"/>
  <c r="H29" i="1"/>
  <c r="I29" i="1"/>
  <c r="J29" i="1"/>
  <c r="K29" i="1"/>
  <c r="L29" i="1"/>
  <c r="E29" i="1"/>
  <c r="O27" i="1"/>
  <c r="P27" i="1"/>
  <c r="Q27" i="1"/>
  <c r="R27" i="1"/>
  <c r="S27" i="1"/>
  <c r="T27" i="1"/>
  <c r="U27" i="1"/>
  <c r="V27" i="1"/>
  <c r="N27" i="1"/>
  <c r="F27" i="1"/>
  <c r="G27" i="1"/>
  <c r="H27" i="1"/>
  <c r="I27" i="1"/>
  <c r="J27" i="1"/>
  <c r="K27" i="1"/>
  <c r="L27" i="1"/>
  <c r="E27" i="1"/>
  <c r="O25" i="1"/>
  <c r="P25" i="1"/>
  <c r="Q25" i="1"/>
  <c r="R25" i="1"/>
  <c r="S25" i="1"/>
  <c r="T25" i="1"/>
  <c r="U25" i="1"/>
  <c r="V25" i="1"/>
  <c r="N25" i="1"/>
  <c r="F25" i="1"/>
  <c r="G25" i="1"/>
  <c r="H25" i="1"/>
  <c r="I25" i="1"/>
  <c r="J25" i="1"/>
  <c r="K25" i="1"/>
  <c r="L25" i="1"/>
  <c r="E25" i="1"/>
  <c r="O23" i="1"/>
  <c r="P23" i="1"/>
  <c r="Q23" i="1"/>
  <c r="R23" i="1"/>
  <c r="S23" i="1"/>
  <c r="T23" i="1"/>
  <c r="U23" i="1"/>
  <c r="V23" i="1"/>
  <c r="N23" i="1"/>
  <c r="F23" i="1"/>
  <c r="G23" i="1"/>
  <c r="H23" i="1"/>
  <c r="I23" i="1"/>
  <c r="J23" i="1"/>
  <c r="K23" i="1"/>
  <c r="L23" i="1"/>
  <c r="E23" i="1"/>
  <c r="O21" i="1"/>
  <c r="P21" i="1"/>
  <c r="X21" i="1" s="1"/>
  <c r="Q21" i="1"/>
  <c r="R21" i="1"/>
  <c r="S21" i="1"/>
  <c r="T21" i="1"/>
  <c r="U21" i="1"/>
  <c r="V21" i="1"/>
  <c r="N21" i="1"/>
  <c r="F21" i="1"/>
  <c r="G21" i="1"/>
  <c r="H21" i="1"/>
  <c r="I21" i="1"/>
  <c r="J21" i="1"/>
  <c r="K21" i="1"/>
  <c r="L21" i="1"/>
  <c r="E21" i="1"/>
  <c r="O19" i="1"/>
  <c r="P19" i="1"/>
  <c r="Q19" i="1"/>
  <c r="R19" i="1"/>
  <c r="S19" i="1"/>
  <c r="T19" i="1"/>
  <c r="U19" i="1"/>
  <c r="V19" i="1"/>
  <c r="N19" i="1"/>
  <c r="F19" i="1"/>
  <c r="G19" i="1"/>
  <c r="H19" i="1"/>
  <c r="I19" i="1"/>
  <c r="J19" i="1"/>
  <c r="K19" i="1"/>
  <c r="L19" i="1"/>
  <c r="E19" i="1"/>
  <c r="O17" i="1"/>
  <c r="P17" i="1"/>
  <c r="Q17" i="1"/>
  <c r="R17" i="1"/>
  <c r="S17" i="1"/>
  <c r="T17" i="1"/>
  <c r="U17" i="1"/>
  <c r="V17" i="1"/>
  <c r="N17" i="1"/>
  <c r="F17" i="1"/>
  <c r="G17" i="1"/>
  <c r="H17" i="1"/>
  <c r="I17" i="1"/>
  <c r="J17" i="1"/>
  <c r="K17" i="1"/>
  <c r="L17" i="1"/>
  <c r="E17" i="1"/>
  <c r="O15" i="1"/>
  <c r="P15" i="1"/>
  <c r="Q15" i="1"/>
  <c r="R15" i="1"/>
  <c r="S15" i="1"/>
  <c r="T15" i="1"/>
  <c r="U15" i="1"/>
  <c r="V15" i="1"/>
  <c r="N15" i="1"/>
  <c r="X15" i="1" s="1"/>
  <c r="F15" i="1"/>
  <c r="G15" i="1"/>
  <c r="H15" i="1"/>
  <c r="I15" i="1"/>
  <c r="J15" i="1"/>
  <c r="K15" i="1"/>
  <c r="L15" i="1"/>
  <c r="E15" i="1"/>
  <c r="O13" i="1"/>
  <c r="P13" i="1"/>
  <c r="Q13" i="1"/>
  <c r="X13" i="1" s="1"/>
  <c r="R13" i="1"/>
  <c r="S13" i="1"/>
  <c r="T13" i="1"/>
  <c r="U13" i="1"/>
  <c r="V13" i="1"/>
  <c r="N13" i="1"/>
  <c r="F13" i="1"/>
  <c r="G13" i="1"/>
  <c r="H13" i="1"/>
  <c r="I13" i="1"/>
  <c r="J13" i="1"/>
  <c r="K13" i="1"/>
  <c r="L13" i="1"/>
  <c r="E13" i="1"/>
  <c r="O11" i="1"/>
  <c r="P11" i="1"/>
  <c r="Q11" i="1"/>
  <c r="R11" i="1"/>
  <c r="S11" i="1"/>
  <c r="T11" i="1"/>
  <c r="U11" i="1"/>
  <c r="V11" i="1"/>
  <c r="N11" i="1"/>
  <c r="F11" i="1"/>
  <c r="G11" i="1"/>
  <c r="H11" i="1"/>
  <c r="I11" i="1"/>
  <c r="J11" i="1"/>
  <c r="K11" i="1"/>
  <c r="L11" i="1"/>
  <c r="E11" i="1"/>
  <c r="O9" i="1"/>
  <c r="P9" i="1"/>
  <c r="Q9" i="1"/>
  <c r="R9" i="1"/>
  <c r="S9" i="1"/>
  <c r="T9" i="1"/>
  <c r="U9" i="1"/>
  <c r="V9" i="1"/>
  <c r="N9" i="1"/>
  <c r="M9" i="1"/>
  <c r="O7" i="1"/>
  <c r="P7" i="1"/>
  <c r="Q7" i="1"/>
  <c r="R7" i="1"/>
  <c r="S7" i="1"/>
  <c r="T7" i="1"/>
  <c r="U7" i="1"/>
  <c r="V7" i="1"/>
  <c r="N7" i="1"/>
  <c r="M2" i="1"/>
  <c r="M3" i="1"/>
  <c r="M4" i="1"/>
  <c r="M6" i="1"/>
  <c r="M8" i="1"/>
  <c r="M10" i="1"/>
  <c r="M12" i="1"/>
  <c r="M14" i="1"/>
  <c r="M16" i="1"/>
  <c r="M18" i="1"/>
  <c r="M20" i="1"/>
  <c r="M22" i="1"/>
  <c r="M24" i="1"/>
  <c r="M26" i="1"/>
  <c r="M28" i="1"/>
  <c r="M30" i="1"/>
  <c r="M32" i="1"/>
  <c r="M34" i="1"/>
  <c r="M36" i="1"/>
  <c r="M38" i="1"/>
  <c r="M40" i="1"/>
  <c r="M42" i="1"/>
  <c r="M44" i="1"/>
  <c r="Y44" i="1" s="1"/>
  <c r="M46" i="1"/>
  <c r="M48" i="1"/>
  <c r="X2" i="1"/>
  <c r="X3" i="1"/>
  <c r="X4" i="1"/>
  <c r="X6" i="1"/>
  <c r="X8" i="1"/>
  <c r="X10" i="1"/>
  <c r="X12" i="1"/>
  <c r="X14" i="1"/>
  <c r="X16" i="1"/>
  <c r="X18" i="1"/>
  <c r="X20" i="1"/>
  <c r="X22" i="1"/>
  <c r="X24" i="1"/>
  <c r="X26" i="1"/>
  <c r="X28" i="1"/>
  <c r="X30" i="1"/>
  <c r="X32" i="1"/>
  <c r="X34" i="1"/>
  <c r="X36" i="1"/>
  <c r="X38" i="1"/>
  <c r="X40" i="1"/>
  <c r="X42" i="1"/>
  <c r="X44" i="1"/>
  <c r="X46" i="1"/>
  <c r="X48" i="1"/>
  <c r="W48" i="1"/>
  <c r="W46" i="1"/>
  <c r="W44" i="1"/>
  <c r="W42" i="1"/>
  <c r="W40" i="1"/>
  <c r="W38" i="1"/>
  <c r="W36" i="1"/>
  <c r="W34" i="1"/>
  <c r="W32" i="1"/>
  <c r="W30" i="1"/>
  <c r="W28" i="1"/>
  <c r="W26" i="1"/>
  <c r="W24" i="1"/>
  <c r="W22" i="1"/>
  <c r="W20" i="1"/>
  <c r="W18" i="1"/>
  <c r="W16" i="1"/>
  <c r="W14" i="1"/>
  <c r="W12" i="1"/>
  <c r="W10" i="1"/>
  <c r="W8" i="1"/>
  <c r="W6" i="1"/>
  <c r="W4" i="1"/>
  <c r="W3" i="1"/>
  <c r="W2" i="1"/>
  <c r="O5" i="1"/>
  <c r="P5" i="1"/>
  <c r="Q5" i="1"/>
  <c r="R5" i="1"/>
  <c r="S5" i="1"/>
  <c r="T5" i="1"/>
  <c r="U5" i="1"/>
  <c r="V5" i="1"/>
  <c r="N5" i="1"/>
  <c r="D5" i="1"/>
  <c r="X29" i="1"/>
  <c r="M13" i="1"/>
  <c r="AD42" i="1"/>
  <c r="AC42" i="1"/>
  <c r="AB42" i="1"/>
  <c r="AA42" i="1"/>
  <c r="Z42" i="1"/>
  <c r="Y42" i="1"/>
  <c r="AD48" i="1"/>
  <c r="AC48" i="1"/>
  <c r="AB48" i="1"/>
  <c r="AA48" i="1"/>
  <c r="Z48" i="1"/>
  <c r="AD46" i="1"/>
  <c r="AC46" i="1"/>
  <c r="AB46" i="1"/>
  <c r="AA46" i="1"/>
  <c r="Z46" i="1"/>
  <c r="M45" i="1"/>
  <c r="AD44" i="1"/>
  <c r="AC44" i="1"/>
  <c r="AB44" i="1"/>
  <c r="AA44" i="1"/>
  <c r="Z44" i="1"/>
  <c r="AD40" i="1"/>
  <c r="AC40" i="1"/>
  <c r="AB40" i="1"/>
  <c r="AA40" i="1"/>
  <c r="Z40" i="1"/>
  <c r="Y40" i="1"/>
  <c r="AD38" i="1"/>
  <c r="AC38" i="1"/>
  <c r="AB38" i="1"/>
  <c r="AA38" i="1"/>
  <c r="Z38" i="1"/>
  <c r="Y38" i="1"/>
  <c r="AD36" i="1"/>
  <c r="AC36" i="1"/>
  <c r="AB36" i="1"/>
  <c r="AA36" i="1"/>
  <c r="Z36" i="1"/>
  <c r="Y36" i="1"/>
  <c r="AD34" i="1"/>
  <c r="AC34" i="1"/>
  <c r="AB34" i="1"/>
  <c r="AA34" i="1"/>
  <c r="Z34" i="1"/>
  <c r="AD32" i="1"/>
  <c r="AC32" i="1"/>
  <c r="AB32" i="1"/>
  <c r="AA32" i="1"/>
  <c r="Z32" i="1"/>
  <c r="X7" i="1" l="1"/>
  <c r="M5" i="1"/>
  <c r="X5" i="1"/>
  <c r="M17" i="1"/>
  <c r="M21" i="1"/>
  <c r="M25" i="1"/>
  <c r="M33" i="1"/>
  <c r="X9" i="1"/>
  <c r="X17" i="1"/>
  <c r="X19" i="1"/>
  <c r="X25" i="1"/>
  <c r="X35" i="1"/>
  <c r="X23" i="1"/>
  <c r="X49" i="1"/>
  <c r="X47" i="1"/>
  <c r="M47" i="1"/>
  <c r="X45" i="1"/>
  <c r="Y45" i="1" s="1"/>
  <c r="M41" i="1"/>
  <c r="M37" i="1"/>
  <c r="M35" i="1"/>
  <c r="Y35" i="1" s="1"/>
  <c r="X33" i="1"/>
  <c r="Y33" i="1" s="1"/>
  <c r="M31" i="1"/>
  <c r="M29" i="1"/>
  <c r="X27" i="1"/>
  <c r="M27" i="1"/>
  <c r="M23" i="1"/>
  <c r="M19" i="1"/>
  <c r="M15" i="1"/>
  <c r="M11" i="1"/>
  <c r="M7" i="1"/>
  <c r="Y37" i="1"/>
  <c r="Y39" i="1"/>
  <c r="W47" i="1"/>
  <c r="W43" i="1"/>
  <c r="Y43" i="1"/>
  <c r="W9" i="1"/>
  <c r="W13" i="1"/>
  <c r="W17" i="1"/>
  <c r="W21" i="1"/>
  <c r="W25" i="1"/>
  <c r="W29" i="1"/>
  <c r="W5" i="1"/>
  <c r="W35" i="1"/>
  <c r="W39" i="1"/>
  <c r="Y41" i="1"/>
  <c r="W7" i="1"/>
  <c r="W15" i="1"/>
  <c r="W19" i="1"/>
  <c r="W23" i="1"/>
  <c r="W27" i="1"/>
  <c r="W33" i="1"/>
  <c r="W37" i="1"/>
  <c r="W41" i="1"/>
  <c r="W45" i="1"/>
  <c r="W49" i="1"/>
  <c r="AE36" i="1"/>
  <c r="AE42" i="1"/>
  <c r="Y32" i="1"/>
  <c r="AE32" i="1"/>
  <c r="Y34" i="1"/>
  <c r="AE38" i="1"/>
  <c r="AE44" i="1"/>
  <c r="Y46" i="1"/>
  <c r="AE34" i="1"/>
  <c r="AE46" i="1"/>
  <c r="Y48" i="1"/>
  <c r="AE40" i="1"/>
  <c r="AE48" i="1"/>
  <c r="Y49" i="1"/>
  <c r="V31" i="1"/>
  <c r="U31" i="1"/>
  <c r="T31" i="1"/>
  <c r="S31" i="1"/>
  <c r="R31" i="1"/>
  <c r="Q31" i="1"/>
  <c r="P31" i="1"/>
  <c r="O31" i="1"/>
  <c r="X11" i="1"/>
  <c r="AD30" i="1"/>
  <c r="AC30" i="1"/>
  <c r="AB30" i="1"/>
  <c r="AA30" i="1"/>
  <c r="Z30" i="1"/>
  <c r="AD28" i="1"/>
  <c r="AC28" i="1"/>
  <c r="AB28" i="1"/>
  <c r="AA28" i="1"/>
  <c r="Z28" i="1"/>
  <c r="AD26" i="1"/>
  <c r="AC26" i="1"/>
  <c r="AB26" i="1"/>
  <c r="AA26" i="1"/>
  <c r="Z26" i="1"/>
  <c r="AD24" i="1"/>
  <c r="AC24" i="1"/>
  <c r="AB24" i="1"/>
  <c r="AA24" i="1"/>
  <c r="Z24" i="1"/>
  <c r="AD22" i="1"/>
  <c r="AC22" i="1"/>
  <c r="AB22" i="1"/>
  <c r="AA22" i="1"/>
  <c r="Z22" i="1"/>
  <c r="AD20" i="1"/>
  <c r="AC20" i="1"/>
  <c r="AB20" i="1"/>
  <c r="AA20" i="1"/>
  <c r="Z20" i="1"/>
  <c r="AD18" i="1"/>
  <c r="AC18" i="1"/>
  <c r="AB18" i="1"/>
  <c r="AA18" i="1"/>
  <c r="Z18" i="1"/>
  <c r="AD16" i="1"/>
  <c r="AC16" i="1"/>
  <c r="AB16" i="1"/>
  <c r="AA16" i="1"/>
  <c r="Z16" i="1"/>
  <c r="AD14" i="1"/>
  <c r="AC14" i="1"/>
  <c r="AB14" i="1"/>
  <c r="AA14" i="1"/>
  <c r="Z14" i="1"/>
  <c r="AD12" i="1"/>
  <c r="AC12" i="1"/>
  <c r="AB12" i="1"/>
  <c r="AA12" i="1"/>
  <c r="Z12" i="1"/>
  <c r="AD10" i="1"/>
  <c r="AC10" i="1"/>
  <c r="AB10" i="1"/>
  <c r="AA10" i="1"/>
  <c r="Z10" i="1"/>
  <c r="AD8" i="1"/>
  <c r="AC8" i="1"/>
  <c r="AB8" i="1"/>
  <c r="AA8" i="1"/>
  <c r="Z8" i="1"/>
  <c r="AD6" i="1"/>
  <c r="AC6" i="1"/>
  <c r="AB6" i="1"/>
  <c r="AA6" i="1"/>
  <c r="Z6" i="1"/>
  <c r="Z4" i="1"/>
  <c r="AA4" i="1"/>
  <c r="AB4" i="1"/>
  <c r="AC4" i="1"/>
  <c r="AD4" i="1"/>
  <c r="Y47" i="1" l="1"/>
  <c r="X31" i="1"/>
  <c r="W31" i="1"/>
  <c r="W11" i="1"/>
  <c r="AE8" i="1"/>
  <c r="AE16" i="1"/>
  <c r="AE28" i="1"/>
  <c r="AE18" i="1"/>
  <c r="AE26" i="1"/>
  <c r="AE4" i="1"/>
  <c r="AE12" i="1"/>
  <c r="AE20" i="1"/>
  <c r="AE10" i="1"/>
  <c r="AE30" i="1"/>
  <c r="AE6" i="1"/>
  <c r="AE14" i="1"/>
  <c r="AE22" i="1"/>
  <c r="AE24" i="1"/>
  <c r="Y2" i="1" l="1"/>
  <c r="Y3" i="1"/>
  <c r="Y19" i="1" l="1"/>
  <c r="Y23" i="1" l="1"/>
  <c r="Y22" i="1"/>
  <c r="Y17" i="1"/>
  <c r="Y14" i="1"/>
  <c r="Y24" i="1"/>
  <c r="Y4" i="1"/>
  <c r="Y20" i="1"/>
  <c r="Y11" i="1"/>
  <c r="Y9" i="1"/>
  <c r="Y30" i="1"/>
  <c r="Y5" i="1"/>
  <c r="Y26" i="1"/>
  <c r="Y12" i="1"/>
  <c r="Y29" i="1"/>
  <c r="Y10" i="1"/>
  <c r="Y28" i="1"/>
  <c r="Y25" i="1"/>
  <c r="Y13" i="1"/>
  <c r="Y7" i="1"/>
  <c r="Y18" i="1"/>
  <c r="Y27" i="1"/>
  <c r="Y8" i="1"/>
  <c r="Y16" i="1"/>
  <c r="Y31" i="1"/>
  <c r="Y6" i="1"/>
  <c r="Y21" i="1"/>
  <c r="Y1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Debra Dalgleish</author>
  </authors>
  <commentList>
    <comment ref="C1" authorId="0" shapeId="0" xr:uid="{00000000-0006-0000-0000-000001000000}">
      <text>
        <r>
          <rPr>
            <sz val="12"/>
            <color indexed="81"/>
            <rFont val="Tahoma"/>
            <family val="2"/>
          </rPr>
          <t>The worksheet is protected, with no password</t>
        </r>
      </text>
    </comment>
  </commentList>
</comments>
</file>

<file path=xl/sharedStrings.xml><?xml version="1.0" encoding="utf-8"?>
<sst xmlns="http://schemas.openxmlformats.org/spreadsheetml/2006/main" count="130" uniqueCount="63">
  <si>
    <t>Hole</t>
  </si>
  <si>
    <t>1st</t>
  </si>
  <si>
    <t>2nd</t>
  </si>
  <si>
    <t>3rd</t>
  </si>
  <si>
    <t>4th</t>
  </si>
  <si>
    <t>5th</t>
  </si>
  <si>
    <t>6th</t>
  </si>
  <si>
    <t>7th</t>
  </si>
  <si>
    <t>8th</t>
  </si>
  <si>
    <t>9th</t>
  </si>
  <si>
    <t>10th</t>
  </si>
  <si>
    <t>11th</t>
  </si>
  <si>
    <t>12th</t>
  </si>
  <si>
    <t>13th</t>
  </si>
  <si>
    <t>14th</t>
  </si>
  <si>
    <t>15th</t>
  </si>
  <si>
    <t>16th</t>
  </si>
  <si>
    <t>17th</t>
  </si>
  <si>
    <t>18th</t>
  </si>
  <si>
    <t>Back</t>
  </si>
  <si>
    <t>Total</t>
  </si>
  <si>
    <t>Yard</t>
  </si>
  <si>
    <t>Par</t>
  </si>
  <si>
    <t>Score</t>
  </si>
  <si>
    <t>Point</t>
  </si>
  <si>
    <t>Player</t>
  </si>
  <si>
    <t>School</t>
  </si>
  <si>
    <t>Out</t>
  </si>
  <si>
    <t>+1</t>
  </si>
  <si>
    <t>+2</t>
  </si>
  <si>
    <t>School 1</t>
  </si>
  <si>
    <t>School 2</t>
  </si>
  <si>
    <t>School 3</t>
  </si>
  <si>
    <t>School 4</t>
  </si>
  <si>
    <t>Description of the Stableford points sytem</t>
  </si>
  <si>
    <t>Points</t>
  </si>
  <si>
    <t>Rank</t>
  </si>
  <si>
    <t>王富 Stanley WANG</t>
  </si>
  <si>
    <t>李秉承 BingCheng Li</t>
  </si>
  <si>
    <t>李中法 Richard LI</t>
  </si>
  <si>
    <t>皮卓丁 Jordan Pi</t>
  </si>
  <si>
    <t>李严冬 Sean Li</t>
  </si>
  <si>
    <t>薛小海 Sam</t>
  </si>
  <si>
    <t>方鹏 Peng Fang (Patrick)</t>
  </si>
  <si>
    <t>白博明 Boming Bai</t>
  </si>
  <si>
    <t>李曙新 Steve Li</t>
  </si>
  <si>
    <t>陈小平 Leon Chen</t>
  </si>
  <si>
    <t>北京大学</t>
  </si>
  <si>
    <t xml:space="preserve">北京工业大学 </t>
  </si>
  <si>
    <t>北京航空航天大学</t>
  </si>
  <si>
    <t>高宁 Gao Peter</t>
  </si>
  <si>
    <t>代宪东 Dai Leo</t>
  </si>
  <si>
    <t>曾钢 Zeng Gang</t>
  </si>
  <si>
    <t>王磊 Wang Lei</t>
  </si>
  <si>
    <t>待定</t>
  </si>
  <si>
    <t>吴永恒 HENRY WU</t>
  </si>
  <si>
    <t>遇强 Herman Yu</t>
  </si>
  <si>
    <t>JOEY 张</t>
  </si>
  <si>
    <t>Sally LI</t>
  </si>
  <si>
    <t>李永泽 Yongze LI</t>
  </si>
  <si>
    <t xml:space="preserve">Victor Zhang </t>
  </si>
  <si>
    <t xml:space="preserve">David Huang </t>
  </si>
  <si>
    <t xml:space="preserve">Cheng Yan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</si>
</sst>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0.00000000000000"/>
  </numFmts>
  <fonts count="11">
    <font>
      <sz val="11"/>
      <color theme="1"/>
      <name val="Calibri"/>
      <family val="2"/>
      <scheme val="minor"/>
    </font>
    <font>
      <b/>
      <sz val="10"/>
      <color indexed="8"/>
      <name val="Calibri"/>
      <family val="2"/>
    </font>
    <font>
      <b/>
      <sz val="10"/>
      <color theme="1"/>
      <name val="Calibri"/>
      <family val="2"/>
      <scheme val="minor"/>
    </font>
    <font>
      <sz val="11"/>
      <color indexed="8"/>
      <name val="Calibri"/>
      <family val="2"/>
    </font>
    <font>
      <b/>
      <sz val="11"/>
      <color indexed="8"/>
      <name val="Calibri"/>
      <family val="2"/>
    </font>
    <font>
      <sz val="12"/>
      <color indexed="81"/>
      <name val="Tahoma"/>
      <family val="2"/>
    </font>
    <font>
      <b/>
      <sz val="11"/>
      <color theme="1"/>
      <name val="Calibri"/>
      <family val="2"/>
      <scheme val="minor"/>
    </font>
    <font>
      <i/>
      <sz val="11"/>
      <color indexed="8"/>
      <name val="Calibri"/>
      <family val="2"/>
    </font>
    <font>
      <sz val="11"/>
      <color theme="6" tint="-0.499984740745262"/>
      <name val="Calibri"/>
      <family val="2"/>
    </font>
    <font>
      <u/>
      <sz val="11"/>
      <color theme="10"/>
      <name val="Calibri"/>
      <family val="2"/>
      <scheme val="minor"/>
    </font>
    <font>
      <sz val="11"/>
      <color rgb="FFC00000"/>
      <name val="Calibri"/>
      <family val="2"/>
      <charset val="134"/>
      <scheme val="minor"/>
    </font>
  </fonts>
  <fills count="9">
    <fill>
      <patternFill patternType="none"/>
    </fill>
    <fill>
      <patternFill patternType="gray125"/>
    </fill>
    <fill>
      <patternFill patternType="solid">
        <fgColor theme="3" tint="0.59999389629810485"/>
        <bgColor indexed="64"/>
      </patternFill>
    </fill>
    <fill>
      <patternFill patternType="solid">
        <fgColor indexed="42"/>
        <bgColor indexed="64"/>
      </patternFill>
    </fill>
    <fill>
      <patternFill patternType="solid">
        <fgColor rgb="FF92D050"/>
        <bgColor indexed="64"/>
      </patternFill>
    </fill>
    <fill>
      <patternFill patternType="solid">
        <fgColor rgb="FFFF0000"/>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4" tint="0.79998168889431442"/>
        <bgColor indexed="64"/>
      </patternFill>
    </fill>
  </fills>
  <borders count="30">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medium">
        <color theme="0" tint="-0.14999847407452621"/>
      </left>
      <right style="thin">
        <color theme="0" tint="-0.14999847407452621"/>
      </right>
      <top style="medium">
        <color theme="0" tint="-0.14999847407452621"/>
      </top>
      <bottom style="thin">
        <color theme="0" tint="-0.14999847407452621"/>
      </bottom>
      <diagonal/>
    </border>
    <border>
      <left style="medium">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top style="medium">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style="thin">
        <color theme="0" tint="-0.14999847407452621"/>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medium">
        <color theme="0" tint="-0.14999847407452621"/>
      </left>
      <right style="thin">
        <color theme="0" tint="-0.14999847407452621"/>
      </right>
      <top style="thin">
        <color theme="0" tint="-0.14999847407452621"/>
      </top>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style="thin">
        <color theme="0" tint="-0.14999847407452621"/>
      </right>
      <top/>
      <bottom style="thin">
        <color indexed="64"/>
      </bottom>
      <diagonal/>
    </border>
    <border>
      <left style="thin">
        <color indexed="64"/>
      </left>
      <right style="thin">
        <color theme="0" tint="-0.14999847407452621"/>
      </right>
      <top style="thin">
        <color indexed="64"/>
      </top>
      <bottom/>
      <diagonal/>
    </border>
    <border>
      <left style="thin">
        <color indexed="64"/>
      </left>
      <right style="thin">
        <color indexed="64"/>
      </right>
      <top style="thin">
        <color indexed="64"/>
      </top>
      <bottom/>
      <diagonal/>
    </border>
    <border>
      <left style="thin">
        <color indexed="64"/>
      </left>
      <right style="thin">
        <color theme="0" tint="-0.14999847407452621"/>
      </right>
      <top/>
      <bottom style="thin">
        <color indexed="64"/>
      </bottom>
      <diagonal/>
    </border>
    <border>
      <left style="thin">
        <color indexed="64"/>
      </left>
      <right style="thin">
        <color indexed="64"/>
      </right>
      <top/>
      <bottom style="thin">
        <color indexed="64"/>
      </bottom>
      <diagonal/>
    </border>
    <border>
      <left/>
      <right style="thin">
        <color theme="0" tint="-0.14999847407452621"/>
      </right>
      <top style="thin">
        <color theme="0" tint="-0.14999847407452621"/>
      </top>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theme="0" tint="-0.14999847407452621"/>
      </left>
      <right style="thin">
        <color theme="0" tint="-0.14999847407452621"/>
      </right>
      <top/>
      <bottom style="dashed">
        <color auto="1"/>
      </bottom>
      <diagonal/>
    </border>
    <border>
      <left style="thin">
        <color theme="0" tint="-0.14999847407452621"/>
      </left>
      <right style="thin">
        <color theme="0" tint="-0.14999847407452621"/>
      </right>
      <top style="dashed">
        <color auto="1"/>
      </top>
      <bottom/>
      <diagonal/>
    </border>
  </borders>
  <cellStyleXfs count="2">
    <xf numFmtId="0" fontId="0" fillId="0" borderId="0"/>
    <xf numFmtId="0" fontId="9" fillId="0" borderId="0" applyNumberFormat="0" applyFill="0" applyBorder="0" applyAlignment="0" applyProtection="0"/>
  </cellStyleXfs>
  <cellXfs count="66">
    <xf numFmtId="0" fontId="0" fillId="0" borderId="0" xfId="0"/>
    <xf numFmtId="49" fontId="1" fillId="2" borderId="5" xfId="0" applyNumberFormat="1" applyFont="1" applyFill="1" applyBorder="1" applyAlignment="1" applyProtection="1">
      <alignment horizontal="center" vertical="center"/>
    </xf>
    <xf numFmtId="0" fontId="1" fillId="6" borderId="1" xfId="0" applyFont="1" applyFill="1" applyBorder="1" applyAlignment="1" applyProtection="1">
      <alignment horizontal="center" vertical="center"/>
    </xf>
    <xf numFmtId="0" fontId="0" fillId="0" borderId="0" xfId="0" applyProtection="1"/>
    <xf numFmtId="0" fontId="1" fillId="2" borderId="1" xfId="0" applyFont="1" applyFill="1" applyBorder="1" applyAlignment="1" applyProtection="1">
      <alignment horizontal="center"/>
    </xf>
    <xf numFmtId="0" fontId="4" fillId="4" borderId="1" xfId="0" applyFont="1" applyFill="1" applyBorder="1" applyAlignment="1" applyProtection="1">
      <alignment horizontal="right" wrapText="1"/>
    </xf>
    <xf numFmtId="0" fontId="2" fillId="5" borderId="6" xfId="0" applyFont="1" applyFill="1" applyBorder="1" applyAlignment="1" applyProtection="1">
      <alignment horizontal="center"/>
    </xf>
    <xf numFmtId="0" fontId="0" fillId="6" borderId="1" xfId="0" applyFill="1" applyBorder="1" applyProtection="1"/>
    <xf numFmtId="0" fontId="2" fillId="5" borderId="8" xfId="0" applyFont="1" applyFill="1" applyBorder="1" applyAlignment="1" applyProtection="1">
      <alignment horizontal="center"/>
    </xf>
    <xf numFmtId="0" fontId="4" fillId="4" borderId="11" xfId="0" applyFont="1" applyFill="1" applyBorder="1" applyAlignment="1" applyProtection="1">
      <alignment horizontal="right" wrapText="1"/>
    </xf>
    <xf numFmtId="0" fontId="4" fillId="4" borderId="14" xfId="0" applyFont="1" applyFill="1" applyBorder="1" applyAlignment="1" applyProtection="1">
      <alignment horizontal="right" wrapText="1"/>
    </xf>
    <xf numFmtId="0" fontId="4" fillId="0" borderId="9" xfId="0" applyFont="1" applyFill="1" applyBorder="1" applyAlignment="1" applyProtection="1">
      <alignment horizontal="right" wrapText="1"/>
    </xf>
    <xf numFmtId="0" fontId="0" fillId="6" borderId="4" xfId="0" applyFill="1" applyBorder="1" applyProtection="1"/>
    <xf numFmtId="164" fontId="3" fillId="3" borderId="17" xfId="0" applyNumberFormat="1" applyFont="1" applyFill="1" applyBorder="1" applyAlignment="1" applyProtection="1">
      <alignment horizontal="center" wrapText="1"/>
    </xf>
    <xf numFmtId="0" fontId="4" fillId="4" borderId="22" xfId="0" applyFont="1" applyFill="1" applyBorder="1" applyAlignment="1" applyProtection="1">
      <alignment horizontal="right" wrapText="1"/>
    </xf>
    <xf numFmtId="0" fontId="4" fillId="0" borderId="21" xfId="0" applyFont="1" applyFill="1" applyBorder="1" applyAlignment="1" applyProtection="1">
      <alignment horizontal="right" wrapText="1"/>
    </xf>
    <xf numFmtId="0" fontId="2" fillId="5" borderId="17" xfId="0" applyFont="1" applyFill="1" applyBorder="1" applyAlignment="1" applyProtection="1">
      <alignment horizontal="center"/>
    </xf>
    <xf numFmtId="0" fontId="0" fillId="6" borderId="21" xfId="0" applyFill="1" applyBorder="1" applyProtection="1"/>
    <xf numFmtId="0" fontId="0" fillId="6" borderId="19" xfId="0" applyFill="1" applyBorder="1" applyProtection="1"/>
    <xf numFmtId="0" fontId="0" fillId="6" borderId="17" xfId="0" applyFill="1" applyBorder="1" applyProtection="1"/>
    <xf numFmtId="164" fontId="3" fillId="3" borderId="18" xfId="0" applyNumberFormat="1" applyFont="1" applyFill="1" applyBorder="1" applyAlignment="1" applyProtection="1">
      <alignment horizontal="center" wrapText="1"/>
    </xf>
    <xf numFmtId="0" fontId="4" fillId="4" borderId="24" xfId="0" applyFont="1" applyFill="1" applyBorder="1" applyAlignment="1" applyProtection="1">
      <alignment horizontal="right" wrapText="1"/>
    </xf>
    <xf numFmtId="0" fontId="4" fillId="0" borderId="23" xfId="0" applyFont="1" applyFill="1" applyBorder="1" applyAlignment="1" applyProtection="1">
      <alignment horizontal="right" wrapText="1"/>
    </xf>
    <xf numFmtId="0" fontId="2" fillId="5" borderId="18" xfId="0" applyFont="1" applyFill="1" applyBorder="1" applyAlignment="1" applyProtection="1">
      <alignment horizontal="center"/>
    </xf>
    <xf numFmtId="0" fontId="0" fillId="6" borderId="23" xfId="0" applyFill="1" applyBorder="1" applyProtection="1"/>
    <xf numFmtId="0" fontId="0" fillId="6" borderId="20" xfId="0" applyFill="1" applyBorder="1" applyProtection="1"/>
    <xf numFmtId="0" fontId="0" fillId="6" borderId="18" xfId="0" applyFill="1" applyBorder="1" applyProtection="1"/>
    <xf numFmtId="0" fontId="4" fillId="0" borderId="25" xfId="0" applyFont="1" applyFill="1" applyBorder="1" applyAlignment="1" applyProtection="1">
      <alignment horizontal="right" wrapText="1"/>
    </xf>
    <xf numFmtId="164" fontId="1" fillId="2" borderId="10" xfId="0" applyNumberFormat="1" applyFont="1" applyFill="1" applyBorder="1" applyAlignment="1" applyProtection="1">
      <alignment horizontal="center" vertical="center" wrapText="1"/>
    </xf>
    <xf numFmtId="49" fontId="1" fillId="2" borderId="11" xfId="0" applyNumberFormat="1" applyFont="1" applyFill="1" applyBorder="1" applyAlignment="1" applyProtection="1">
      <alignment horizontal="center" vertical="center" wrapText="1"/>
    </xf>
    <xf numFmtId="49" fontId="1" fillId="2" borderId="11" xfId="0" applyNumberFormat="1" applyFont="1" applyFill="1" applyBorder="1" applyAlignment="1" applyProtection="1">
      <alignment horizontal="center" vertical="center"/>
    </xf>
    <xf numFmtId="49" fontId="1" fillId="2" borderId="12" xfId="0" applyNumberFormat="1" applyFont="1" applyFill="1" applyBorder="1" applyAlignment="1" applyProtection="1">
      <alignment horizontal="center" vertical="center"/>
    </xf>
    <xf numFmtId="164" fontId="1" fillId="2" borderId="26" xfId="0" applyNumberFormat="1" applyFont="1" applyFill="1" applyBorder="1" applyAlignment="1" applyProtection="1">
      <alignment horizontal="center"/>
    </xf>
    <xf numFmtId="0" fontId="1" fillId="2" borderId="27" xfId="0" applyFont="1" applyFill="1" applyBorder="1" applyAlignment="1" applyProtection="1">
      <alignment horizontal="center"/>
    </xf>
    <xf numFmtId="164" fontId="1" fillId="2" borderId="13" xfId="0" applyNumberFormat="1" applyFont="1" applyFill="1" applyBorder="1" applyAlignment="1" applyProtection="1">
      <alignment horizontal="center"/>
    </xf>
    <xf numFmtId="0" fontId="1" fillId="2" borderId="14" xfId="0" applyFont="1" applyFill="1" applyBorder="1" applyAlignment="1" applyProtection="1">
      <alignment horizontal="center"/>
    </xf>
    <xf numFmtId="0" fontId="1" fillId="2" borderId="15" xfId="0" applyFont="1" applyFill="1" applyBorder="1" applyAlignment="1" applyProtection="1">
      <alignment horizontal="center"/>
    </xf>
    <xf numFmtId="0" fontId="9" fillId="0" borderId="0" xfId="1" applyProtection="1"/>
    <xf numFmtId="165" fontId="0" fillId="0" borderId="0" xfId="0" applyNumberFormat="1" applyProtection="1"/>
    <xf numFmtId="0" fontId="7" fillId="3" borderId="21" xfId="0" applyNumberFormat="1" applyFont="1" applyFill="1" applyBorder="1" applyAlignment="1" applyProtection="1">
      <alignment horizontal="center" wrapText="1"/>
    </xf>
    <xf numFmtId="0" fontId="7" fillId="3" borderId="19" xfId="0" applyNumberFormat="1" applyFont="1" applyFill="1" applyBorder="1" applyAlignment="1" applyProtection="1">
      <alignment horizontal="center" wrapText="1"/>
    </xf>
    <xf numFmtId="0" fontId="7" fillId="3" borderId="17" xfId="0" applyNumberFormat="1" applyFont="1" applyFill="1" applyBorder="1" applyAlignment="1" applyProtection="1">
      <alignment horizontal="center" wrapText="1"/>
    </xf>
    <xf numFmtId="0" fontId="8" fillId="3" borderId="23" xfId="0" applyNumberFormat="1" applyFont="1" applyFill="1" applyBorder="1" applyAlignment="1" applyProtection="1">
      <alignment horizontal="center" wrapText="1"/>
    </xf>
    <xf numFmtId="0" fontId="8" fillId="3" borderId="20" xfId="0" applyNumberFormat="1" applyFont="1" applyFill="1" applyBorder="1" applyAlignment="1" applyProtection="1">
      <alignment horizontal="center" wrapText="1"/>
    </xf>
    <xf numFmtId="0" fontId="8" fillId="3" borderId="18" xfId="0" applyNumberFormat="1" applyFont="1" applyFill="1" applyBorder="1" applyAlignment="1" applyProtection="1">
      <alignment horizontal="center" wrapText="1"/>
    </xf>
    <xf numFmtId="0" fontId="6" fillId="7" borderId="7" xfId="0" applyFont="1" applyFill="1" applyBorder="1" applyAlignment="1">
      <alignment horizontal="center"/>
    </xf>
    <xf numFmtId="0" fontId="0" fillId="8" borderId="7" xfId="0" applyFont="1" applyFill="1" applyBorder="1"/>
    <xf numFmtId="0" fontId="0" fillId="8" borderId="7" xfId="0" applyFont="1" applyFill="1" applyBorder="1" applyAlignment="1">
      <alignment horizontal="center"/>
    </xf>
    <xf numFmtId="0" fontId="0" fillId="0" borderId="19" xfId="0" applyBorder="1" applyAlignment="1" applyProtection="1">
      <alignment horizontal="center" vertical="center"/>
    </xf>
    <xf numFmtId="0" fontId="0" fillId="0" borderId="20" xfId="0" applyBorder="1" applyAlignment="1" applyProtection="1">
      <alignment horizontal="center" vertical="center"/>
    </xf>
    <xf numFmtId="0" fontId="6" fillId="0" borderId="2" xfId="0" applyFont="1" applyBorder="1" applyAlignment="1" applyProtection="1">
      <alignment horizontal="center"/>
    </xf>
    <xf numFmtId="0" fontId="6" fillId="0" borderId="3" xfId="0" applyFont="1" applyBorder="1" applyAlignment="1" applyProtection="1">
      <alignment horizontal="center"/>
    </xf>
    <xf numFmtId="0" fontId="6" fillId="0" borderId="16" xfId="0" applyFont="1" applyBorder="1" applyAlignment="1" applyProtection="1">
      <alignment horizontal="center"/>
    </xf>
    <xf numFmtId="0" fontId="0" fillId="0" borderId="21" xfId="0" applyBorder="1" applyAlignment="1" applyProtection="1">
      <alignment horizontal="center" vertical="center"/>
    </xf>
    <xf numFmtId="0" fontId="0" fillId="0" borderId="23" xfId="0" applyBorder="1" applyAlignment="1" applyProtection="1">
      <alignment horizontal="center" vertical="center"/>
    </xf>
    <xf numFmtId="0" fontId="6" fillId="0" borderId="5" xfId="0" applyFont="1" applyBorder="1" applyAlignment="1" applyProtection="1">
      <alignment horizontal="center"/>
    </xf>
    <xf numFmtId="0" fontId="6" fillId="0" borderId="6" xfId="0" applyFont="1" applyBorder="1" applyAlignment="1" applyProtection="1">
      <alignment horizontal="center"/>
    </xf>
    <xf numFmtId="0" fontId="6" fillId="0" borderId="8" xfId="0" applyFont="1" applyBorder="1" applyAlignment="1" applyProtection="1">
      <alignment horizontal="center"/>
    </xf>
    <xf numFmtId="0" fontId="10" fillId="0" borderId="19" xfId="0" applyFont="1" applyBorder="1" applyAlignment="1">
      <alignment horizontal="center" vertical="center"/>
    </xf>
    <xf numFmtId="0" fontId="10" fillId="0" borderId="28" xfId="0" applyFont="1" applyBorder="1" applyAlignment="1">
      <alignment horizontal="center" vertical="center"/>
    </xf>
    <xf numFmtId="0" fontId="10" fillId="0" borderId="29" xfId="0" applyFont="1" applyBorder="1" applyAlignment="1">
      <alignment horizontal="center" vertical="center"/>
    </xf>
    <xf numFmtId="0" fontId="10" fillId="0" borderId="20" xfId="0" applyFont="1" applyBorder="1" applyAlignment="1">
      <alignment horizontal="center" vertical="center"/>
    </xf>
    <xf numFmtId="0" fontId="0" fillId="0" borderId="19"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20" xfId="0" applyBorder="1" applyAlignment="1">
      <alignment horizontal="center" vertical="center"/>
    </xf>
  </cellXfs>
  <cellStyles count="2">
    <cellStyle name="Hyperlink" xfId="1" builtinId="8"/>
    <cellStyle name="Normal" xfId="0" builtinId="0"/>
  </cellStyles>
  <dxfs count="90">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30</xdr:col>
      <xdr:colOff>495300</xdr:colOff>
      <xdr:row>8</xdr:row>
      <xdr:rowOff>38100</xdr:rowOff>
    </xdr:from>
    <xdr:to>
      <xdr:col>34</xdr:col>
      <xdr:colOff>533400</xdr:colOff>
      <xdr:row>20</xdr:row>
      <xdr:rowOff>161925</xdr:rowOff>
    </xdr:to>
    <xdr:sp macro="" textlink="">
      <xdr:nvSpPr>
        <xdr:cNvPr id="2" name="TextBox 1">
          <a:extLst>
            <a:ext uri="{FF2B5EF4-FFF2-40B4-BE49-F238E27FC236}">
              <a16:creationId xmlns:a16="http://schemas.microsoft.com/office/drawing/2014/main" id="{19809AAE-6240-400C-AD87-0BAA0AA4F94B}"/>
            </a:ext>
          </a:extLst>
        </xdr:cNvPr>
        <xdr:cNvSpPr txBox="1"/>
      </xdr:nvSpPr>
      <xdr:spPr>
        <a:xfrm>
          <a:off x="12877800" y="1562100"/>
          <a:ext cx="3905250" cy="2409825"/>
        </a:xfrm>
        <a:prstGeom prst="rect">
          <a:avLst/>
        </a:prstGeom>
        <a:solidFill>
          <a:schemeClr val="tx2">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chemeClr val="bg1"/>
              </a:solidFill>
            </a:rPr>
            <a:t>NOTES:</a:t>
          </a:r>
          <a:endParaRPr lang="en-US" sz="900" u="sng">
            <a:solidFill>
              <a:schemeClr val="bg1"/>
            </a:solidFill>
          </a:endParaRPr>
        </a:p>
        <a:p>
          <a:r>
            <a:rPr lang="en-US" sz="1100">
              <a:solidFill>
                <a:schemeClr val="bg1"/>
              </a:solidFill>
            </a:rPr>
            <a:t>Since no data was included, I added random weighted scores.</a:t>
          </a:r>
        </a:p>
        <a:p>
          <a:r>
            <a:rPr lang="en-US" sz="1100">
              <a:solidFill>
                <a:schemeClr val="bg1"/>
              </a:solidFill>
            </a:rPr>
            <a:t>Point</a:t>
          </a:r>
          <a:r>
            <a:rPr lang="en-US" sz="1100" baseline="0">
              <a:solidFill>
                <a:schemeClr val="bg1"/>
              </a:solidFill>
            </a:rPr>
            <a:t> system wasn't specified; I used Stableford. (see link in AD2)</a:t>
          </a:r>
        </a:p>
        <a:p>
          <a:r>
            <a:rPr lang="en-US" sz="1100" baseline="0">
              <a:solidFill>
                <a:schemeClr val="bg1"/>
              </a:solidFill>
            </a:rPr>
            <a:t>Column AD is not needed, it's simply used to demo tie-breaks. Each Over/Under column is divided by a different divisor to yield a decimal adjustment. The more critical the column, the smaller the divisor, so the overall adjustment will reflect their relative importance. This adjustment is then SUBTRACTED from the School's Total Score for rank calculation (smallest score wins).</a:t>
          </a:r>
        </a:p>
        <a:p>
          <a:endParaRPr lang="en-US" sz="1100" baseline="0">
            <a:solidFill>
              <a:schemeClr val="bg1"/>
            </a:solidFill>
          </a:endParaRPr>
        </a:p>
        <a:p>
          <a:r>
            <a:rPr lang="en-US" sz="1400" baseline="0">
              <a:solidFill>
                <a:schemeClr val="bg1"/>
              </a:solidFill>
            </a:rPr>
            <a:t>Click the </a:t>
          </a:r>
          <a:r>
            <a:rPr lang="en-US" sz="1400" b="1" baseline="0">
              <a:solidFill>
                <a:schemeClr val="bg1"/>
              </a:solidFill>
            </a:rPr>
            <a:t>Update School Totals</a:t>
          </a:r>
          <a:r>
            <a:rPr lang="en-US" sz="1400" b="0" baseline="0">
              <a:solidFill>
                <a:schemeClr val="bg1"/>
              </a:solidFill>
            </a:rPr>
            <a:t> button (top left) to run the macro.</a:t>
          </a:r>
          <a:endParaRPr lang="en-US" sz="1400" baseline="0">
            <a:solidFill>
              <a:schemeClr val="bg1"/>
            </a:solidFill>
          </a:endParaRPr>
        </a:p>
      </xdr:txBody>
    </xdr:sp>
    <xdr:clientData/>
  </xdr:twoCellAnchor>
  <xdr:twoCellAnchor>
    <xdr:from>
      <xdr:col>0</xdr:col>
      <xdr:colOff>95250</xdr:colOff>
      <xdr:row>0</xdr:row>
      <xdr:rowOff>47625</xdr:rowOff>
    </xdr:from>
    <xdr:to>
      <xdr:col>1</xdr:col>
      <xdr:colOff>1000125</xdr:colOff>
      <xdr:row>2</xdr:row>
      <xdr:rowOff>0</xdr:rowOff>
    </xdr:to>
    <xdr:sp macro="[0]!UpdateSchoolTotals" textlink="">
      <xdr:nvSpPr>
        <xdr:cNvPr id="3" name="Rectangle: Beveled 2">
          <a:extLst>
            <a:ext uri="{FF2B5EF4-FFF2-40B4-BE49-F238E27FC236}">
              <a16:creationId xmlns:a16="http://schemas.microsoft.com/office/drawing/2014/main" id="{A6171EE3-BCB8-4AAA-A419-C8362FBAA8DD}"/>
            </a:ext>
          </a:extLst>
        </xdr:cNvPr>
        <xdr:cNvSpPr/>
      </xdr:nvSpPr>
      <xdr:spPr>
        <a:xfrm>
          <a:off x="95250" y="47625"/>
          <a:ext cx="1838325" cy="333375"/>
        </a:xfrm>
        <a:prstGeom prst="bevel">
          <a:avLst/>
        </a:prstGeom>
        <a:solidFill>
          <a:schemeClr val="tx2">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Update School Totals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200024</xdr:colOff>
      <xdr:row>0</xdr:row>
      <xdr:rowOff>95249</xdr:rowOff>
    </xdr:from>
    <xdr:to>
      <xdr:col>12</xdr:col>
      <xdr:colOff>228599</xdr:colOff>
      <xdr:row>20</xdr:row>
      <xdr:rowOff>142874</xdr:rowOff>
    </xdr:to>
    <xdr:sp macro="" textlink="">
      <xdr:nvSpPr>
        <xdr:cNvPr id="2" name="TextBox 1">
          <a:extLst>
            <a:ext uri="{FF2B5EF4-FFF2-40B4-BE49-F238E27FC236}">
              <a16:creationId xmlns:a16="http://schemas.microsoft.com/office/drawing/2014/main" id="{7507BFBF-DD18-4972-AAAF-56ACF8AF12E4}"/>
            </a:ext>
          </a:extLst>
        </xdr:cNvPr>
        <xdr:cNvSpPr txBox="1"/>
      </xdr:nvSpPr>
      <xdr:spPr>
        <a:xfrm>
          <a:off x="3362324" y="95249"/>
          <a:ext cx="4295775" cy="3857625"/>
        </a:xfrm>
        <a:prstGeom prst="rect">
          <a:avLst/>
        </a:prstGeom>
        <a:solidFill>
          <a:schemeClr val="tx2">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chemeClr val="bg1"/>
              </a:solidFill>
            </a:rPr>
            <a:t>NOTES:</a:t>
          </a:r>
          <a:endParaRPr lang="en-US" sz="900" u="sng">
            <a:solidFill>
              <a:schemeClr val="bg1"/>
            </a:solidFill>
          </a:endParaRPr>
        </a:p>
        <a:p>
          <a:r>
            <a:rPr lang="en-US" sz="1100">
              <a:solidFill>
                <a:schemeClr val="bg1"/>
              </a:solidFill>
            </a:rPr>
            <a:t>The </a:t>
          </a:r>
          <a:r>
            <a:rPr lang="en-US" sz="1100" b="1">
              <a:solidFill>
                <a:schemeClr val="bg1"/>
              </a:solidFill>
            </a:rPr>
            <a:t>UpdateSchoolTotals</a:t>
          </a:r>
          <a:r>
            <a:rPr lang="en-US" sz="1100" b="0" baseline="0">
              <a:solidFill>
                <a:schemeClr val="bg1"/>
              </a:solidFill>
            </a:rPr>
            <a:t> macro starts by resizing three Named Ranges used to reference the Course1 sheet. These are:</a:t>
          </a:r>
        </a:p>
        <a:p>
          <a:r>
            <a:rPr lang="en-US" sz="1100" b="1" baseline="0">
              <a:solidFill>
                <a:schemeClr val="bg1"/>
              </a:solidFill>
            </a:rPr>
            <a:t>Schools</a:t>
          </a:r>
          <a:r>
            <a:rPr lang="en-US" sz="1100" b="0" baseline="0">
              <a:solidFill>
                <a:schemeClr val="bg1"/>
              </a:solidFill>
            </a:rPr>
            <a:t> = Course1!column A</a:t>
          </a:r>
        </a:p>
        <a:p>
          <a:r>
            <a:rPr lang="en-US" sz="1100" b="1" baseline="0">
              <a:solidFill>
                <a:schemeClr val="bg1"/>
              </a:solidFill>
            </a:rPr>
            <a:t>Totals</a:t>
          </a:r>
          <a:r>
            <a:rPr lang="en-US" sz="1100" b="0" baseline="0">
              <a:solidFill>
                <a:schemeClr val="bg1"/>
              </a:solidFill>
            </a:rPr>
            <a:t> = Course1!column X</a:t>
          </a:r>
        </a:p>
        <a:p>
          <a:r>
            <a:rPr lang="en-US" sz="1100" b="1" baseline="0">
              <a:solidFill>
                <a:schemeClr val="bg1"/>
              </a:solidFill>
            </a:rPr>
            <a:t>OverUnders</a:t>
          </a:r>
          <a:r>
            <a:rPr lang="en-US" sz="1100" b="0" baseline="0">
              <a:solidFill>
                <a:schemeClr val="bg1"/>
              </a:solidFill>
            </a:rPr>
            <a:t> = Course1!columns Y:AC</a:t>
          </a:r>
        </a:p>
        <a:p>
          <a:r>
            <a:rPr lang="en-US" sz="1100" b="0" baseline="0">
              <a:solidFill>
                <a:schemeClr val="bg1"/>
              </a:solidFill>
            </a:rPr>
            <a:t>Then it clears this list area, counts the number of unique schools from the Course1 sheet, lists them in column A, inserts a temporary column E, enters formulas in columns B:E, replaces them with their calculated values, deletes the temporary E and finally, sorts the list by rank.</a:t>
          </a:r>
        </a:p>
        <a:p>
          <a:endParaRPr lang="en-US" sz="1100" b="0" baseline="0">
            <a:solidFill>
              <a:schemeClr val="bg1"/>
            </a:solidFill>
          </a:endParaRPr>
        </a:p>
        <a:p>
          <a:r>
            <a:rPr lang="en-US" sz="1100" b="0" baseline="0">
              <a:solidFill>
                <a:schemeClr val="bg1"/>
              </a:solidFill>
            </a:rPr>
            <a:t>Formulas:</a:t>
          </a:r>
        </a:p>
        <a:p>
          <a:r>
            <a:rPr lang="en-US" sz="1100" b="0" baseline="0">
              <a:solidFill>
                <a:schemeClr val="bg1"/>
              </a:solidFill>
            </a:rPr>
            <a:t>B2 = SUMPRODUCT((OFFSET(Schools,-1,)=A2)*Totals)</a:t>
          </a:r>
        </a:p>
        <a:p>
          <a:r>
            <a:rPr lang="en-US" sz="1100" b="0" baseline="0">
              <a:solidFill>
                <a:schemeClr val="bg1"/>
              </a:solidFill>
            </a:rPr>
            <a:t>C2 = SUMPRODUCT((Schools=A2)*Totals)</a:t>
          </a:r>
        </a:p>
        <a:p>
          <a:r>
            <a:rPr lang="en-US" sz="1100" b="0" baseline="0">
              <a:solidFill>
                <a:schemeClr val="bg1"/>
              </a:solidFill>
            </a:rPr>
            <a:t>D2 = RANK.EQ(E2,E$2:E$5,1)</a:t>
          </a:r>
        </a:p>
        <a:p>
          <a:r>
            <a:rPr lang="en-US" sz="1100" b="0" baseline="0">
              <a:solidFill>
                <a:schemeClr val="bg1"/>
              </a:solidFill>
            </a:rPr>
            <a:t>E2 = C2-SUMPRODUCT((Schools=A2) *(OverUnders/{100,100000,100000000,100000000000,100000000000000}))</a:t>
          </a:r>
        </a:p>
        <a:p>
          <a:endParaRPr lang="en-US" sz="1100" b="0" baseline="0">
            <a:solidFill>
              <a:schemeClr val="bg1"/>
            </a:solidFill>
          </a:endParaRPr>
        </a:p>
        <a:p>
          <a:r>
            <a:rPr lang="en-US" sz="1100" b="0" baseline="0">
              <a:solidFill>
                <a:schemeClr val="bg1"/>
              </a:solidFill>
            </a:rPr>
            <a:t>E2 adjusts for tie-breaks; it's deleted after ranks are calculated. See Course1 notes for more details.</a:t>
          </a:r>
          <a:endParaRPr lang="en-US" sz="1100" b="1" baseline="0">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XIE/Web/2017/alumnigolftour.com/GolfScoresAnnual.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Scores"/>
      <sheetName val="MyLinks"/>
    </sheetNames>
    <sheetDataSet>
      <sheetData sheetId="0">
        <row r="8">
          <cell r="B8" t="str">
            <v>Course Par</v>
          </cell>
        </row>
      </sheetData>
      <sheetData sheetId="1"/>
      <sheetData sheetId="2"/>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http://www.golftoday.co.uk/clubhouse/library/stableford.html"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J49"/>
  <sheetViews>
    <sheetView showGridLines="0" tabSelected="1" zoomScaleNormal="100" workbookViewId="0">
      <pane xSplit="3" ySplit="3" topLeftCell="D10" activePane="bottomRight" state="frozen"/>
      <selection pane="topRight" activeCell="D1" sqref="D1"/>
      <selection pane="bottomLeft" activeCell="A4" sqref="A4"/>
      <selection pane="bottomRight" activeCell="N5" sqref="N5"/>
    </sheetView>
  </sheetViews>
  <sheetFormatPr defaultRowHeight="15"/>
  <cols>
    <col min="1" max="1" width="18.140625" customWidth="1"/>
    <col min="2" max="2" width="22.140625" customWidth="1"/>
    <col min="3" max="3" width="7.140625" customWidth="1"/>
    <col min="4" max="30" width="5.7109375" customWidth="1"/>
    <col min="31" max="31" width="20.85546875" customWidth="1"/>
    <col min="32" max="32" width="18.85546875" bestFit="1" customWidth="1"/>
    <col min="35" max="35" width="8.85546875" customWidth="1"/>
  </cols>
  <sheetData>
    <row r="1" spans="1:36">
      <c r="A1" s="50" t="s">
        <v>26</v>
      </c>
      <c r="B1" s="55" t="s">
        <v>25</v>
      </c>
      <c r="C1" s="28" t="s">
        <v>0</v>
      </c>
      <c r="D1" s="29" t="s">
        <v>1</v>
      </c>
      <c r="E1" s="30" t="s">
        <v>2</v>
      </c>
      <c r="F1" s="30" t="s">
        <v>3</v>
      </c>
      <c r="G1" s="30" t="s">
        <v>4</v>
      </c>
      <c r="H1" s="30" t="s">
        <v>5</v>
      </c>
      <c r="I1" s="30" t="s">
        <v>6</v>
      </c>
      <c r="J1" s="30" t="s">
        <v>7</v>
      </c>
      <c r="K1" s="30" t="s">
        <v>8</v>
      </c>
      <c r="L1" s="30" t="s">
        <v>9</v>
      </c>
      <c r="M1" s="9" t="s">
        <v>27</v>
      </c>
      <c r="N1" s="30" t="s">
        <v>10</v>
      </c>
      <c r="O1" s="30" t="s">
        <v>11</v>
      </c>
      <c r="P1" s="30" t="s">
        <v>12</v>
      </c>
      <c r="Q1" s="30" t="s">
        <v>13</v>
      </c>
      <c r="R1" s="30" t="s">
        <v>14</v>
      </c>
      <c r="S1" s="30" t="s">
        <v>15</v>
      </c>
      <c r="T1" s="30" t="s">
        <v>16</v>
      </c>
      <c r="U1" s="30" t="s">
        <v>17</v>
      </c>
      <c r="V1" s="31" t="s">
        <v>18</v>
      </c>
      <c r="W1" s="9" t="s">
        <v>27</v>
      </c>
      <c r="X1" s="11" t="s">
        <v>19</v>
      </c>
      <c r="Y1" s="1" t="s">
        <v>20</v>
      </c>
      <c r="Z1" s="2">
        <v>-2</v>
      </c>
      <c r="AA1" s="2">
        <v>-1</v>
      </c>
      <c r="AB1" s="2">
        <v>0</v>
      </c>
      <c r="AC1" s="2" t="s">
        <v>28</v>
      </c>
      <c r="AD1" s="2" t="s">
        <v>29</v>
      </c>
      <c r="AF1" s="3"/>
      <c r="AJ1" s="3"/>
    </row>
    <row r="2" spans="1:36">
      <c r="A2" s="51"/>
      <c r="B2" s="56"/>
      <c r="C2" s="32" t="s">
        <v>21</v>
      </c>
      <c r="D2" s="4">
        <v>291</v>
      </c>
      <c r="E2" s="4">
        <v>381</v>
      </c>
      <c r="F2" s="4">
        <v>190</v>
      </c>
      <c r="G2" s="4">
        <v>377</v>
      </c>
      <c r="H2" s="4">
        <v>124</v>
      </c>
      <c r="I2" s="4">
        <v>304</v>
      </c>
      <c r="J2" s="4">
        <v>563</v>
      </c>
      <c r="K2" s="4">
        <v>419</v>
      </c>
      <c r="L2" s="4">
        <v>491</v>
      </c>
      <c r="M2" s="5">
        <f>IF($C2="","",SUM(D2:L2))</f>
        <v>3140</v>
      </c>
      <c r="N2" s="4">
        <v>364</v>
      </c>
      <c r="O2" s="4">
        <v>337</v>
      </c>
      <c r="P2" s="4">
        <v>595</v>
      </c>
      <c r="Q2" s="4">
        <v>347</v>
      </c>
      <c r="R2" s="4">
        <v>419</v>
      </c>
      <c r="S2" s="4">
        <v>193</v>
      </c>
      <c r="T2" s="4">
        <v>460</v>
      </c>
      <c r="U2" s="4">
        <v>180</v>
      </c>
      <c r="V2" s="33">
        <v>368</v>
      </c>
      <c r="W2" s="5">
        <f>IF($C2="","",SUM(N2:V2))</f>
        <v>3263</v>
      </c>
      <c r="X2" s="11">
        <f t="shared" ref="X2:X5" si="0">IF($C2="","",SUM(N2:V2))</f>
        <v>3263</v>
      </c>
      <c r="Y2" s="6">
        <f>M2+X2</f>
        <v>6403</v>
      </c>
      <c r="Z2" s="7"/>
      <c r="AA2" s="7"/>
      <c r="AB2" s="7"/>
      <c r="AC2" s="7"/>
      <c r="AD2" s="7"/>
      <c r="AE2" s="37" t="s">
        <v>34</v>
      </c>
      <c r="AF2" s="3"/>
      <c r="AJ2" s="3"/>
    </row>
    <row r="3" spans="1:36">
      <c r="A3" s="52"/>
      <c r="B3" s="57"/>
      <c r="C3" s="34" t="s">
        <v>22</v>
      </c>
      <c r="D3" s="35">
        <v>4</v>
      </c>
      <c r="E3" s="35">
        <v>4</v>
      </c>
      <c r="F3" s="35">
        <v>3</v>
      </c>
      <c r="G3" s="35">
        <v>4</v>
      </c>
      <c r="H3" s="35">
        <v>3</v>
      </c>
      <c r="I3" s="35">
        <v>4</v>
      </c>
      <c r="J3" s="35">
        <v>5</v>
      </c>
      <c r="K3" s="35">
        <v>4</v>
      </c>
      <c r="L3" s="35">
        <v>5</v>
      </c>
      <c r="M3" s="10">
        <f>IF($C3="","",SUM(D3:L3))</f>
        <v>36</v>
      </c>
      <c r="N3" s="35">
        <v>4</v>
      </c>
      <c r="O3" s="35">
        <v>4</v>
      </c>
      <c r="P3" s="35">
        <v>5</v>
      </c>
      <c r="Q3" s="35">
        <v>4</v>
      </c>
      <c r="R3" s="35">
        <v>4</v>
      </c>
      <c r="S3" s="35">
        <v>3</v>
      </c>
      <c r="T3" s="35">
        <v>5</v>
      </c>
      <c r="U3" s="35">
        <v>3</v>
      </c>
      <c r="V3" s="36">
        <v>4</v>
      </c>
      <c r="W3" s="10">
        <f>IF($C3="","",SUM(N3:V3))</f>
        <v>36</v>
      </c>
      <c r="X3" s="27">
        <f t="shared" si="0"/>
        <v>36</v>
      </c>
      <c r="Y3" s="8">
        <f>M3+X3</f>
        <v>72</v>
      </c>
      <c r="Z3" s="12"/>
      <c r="AA3" s="12"/>
      <c r="AB3" s="12"/>
      <c r="AC3" s="12"/>
      <c r="AD3" s="12"/>
      <c r="AE3" s="3"/>
      <c r="AF3" s="3"/>
      <c r="AJ3" s="3"/>
    </row>
    <row r="4" spans="1:36">
      <c r="A4" s="53" t="s">
        <v>47</v>
      </c>
      <c r="B4" s="48" t="s">
        <v>37</v>
      </c>
      <c r="C4" s="13" t="s">
        <v>23</v>
      </c>
      <c r="D4" s="39">
        <v>5</v>
      </c>
      <c r="E4" s="40">
        <v>2</v>
      </c>
      <c r="F4" s="40">
        <v>1</v>
      </c>
      <c r="G4" s="40">
        <v>4</v>
      </c>
      <c r="H4" s="40">
        <v>5</v>
      </c>
      <c r="I4" s="40">
        <v>4</v>
      </c>
      <c r="J4" s="40">
        <v>4</v>
      </c>
      <c r="K4" s="40">
        <v>6</v>
      </c>
      <c r="L4" s="41">
        <v>4</v>
      </c>
      <c r="M4" s="14">
        <f>IF($C4="","",SUM(D4:L4))</f>
        <v>35</v>
      </c>
      <c r="N4" s="39">
        <v>1</v>
      </c>
      <c r="O4" s="40">
        <v>2</v>
      </c>
      <c r="P4" s="40">
        <v>2</v>
      </c>
      <c r="Q4" s="40">
        <v>3</v>
      </c>
      <c r="R4" s="40">
        <v>4</v>
      </c>
      <c r="S4" s="40">
        <v>3</v>
      </c>
      <c r="T4" s="40">
        <v>5</v>
      </c>
      <c r="U4" s="40">
        <v>3</v>
      </c>
      <c r="V4" s="41">
        <v>5</v>
      </c>
      <c r="W4" s="14">
        <f>IF($C4="","",SUM(N4:V4))</f>
        <v>28</v>
      </c>
      <c r="X4" s="15">
        <f t="shared" si="0"/>
        <v>28</v>
      </c>
      <c r="Y4" s="16">
        <f>M4+X4</f>
        <v>63</v>
      </c>
      <c r="Z4" s="17">
        <f>SUMPRODUCT(($D4:$L4-$D$3:$L$3&lt;=--Z$1)+($N4:$V4-$N$3:$V$3&lt;=--Z$1))</f>
        <v>5</v>
      </c>
      <c r="AA4" s="18">
        <f>SUMPRODUCT(($D4:$L4-$D$3:$L$3=--AA$1)+($N4:$V4-$N$3:$V$3=--AA$1))</f>
        <v>3</v>
      </c>
      <c r="AB4" s="18">
        <f>SUMPRODUCT(($D4:$L4-$D$3:$L$3=--AB$1)+($N4:$V4-$N$3:$V$3=--AB$1))</f>
        <v>6</v>
      </c>
      <c r="AC4" s="18">
        <f>SUMPRODUCT(($D4:$L4-$D$3:$L$3=--AC$1)+($N4:$V4-$N$3:$V$3=--AC$1))</f>
        <v>2</v>
      </c>
      <c r="AD4" s="19">
        <f>SUMPRODUCT(($D4:$L4-$D$3:$L$3&gt;=--AD$1)+($N4:$V4-$N$3:$V$3&gt;=--AD$1))</f>
        <v>2</v>
      </c>
      <c r="AE4" s="38">
        <f>SUMPRODUCT(Z4:AD4/{100,100000,100000000,100000000000,100000000000000})</f>
        <v>5.0030060020020008E-2</v>
      </c>
      <c r="AF4" s="38"/>
    </row>
    <row r="5" spans="1:36">
      <c r="A5" s="54"/>
      <c r="B5" s="49"/>
      <c r="C5" s="20" t="s">
        <v>24</v>
      </c>
      <c r="D5" s="42">
        <f>IF(D4=(D$3+3),0, IF(D4=(D$3+2),1, IF(D4=(D$3+1),2, IF(D4=D$3, 3, IF(D4=(D$3-1),5, IF(D4=(D$3-2),8, IF(D4=(D$3-3),12, 0)))))))</f>
        <v>2</v>
      </c>
      <c r="E5" s="42">
        <f t="shared" ref="E5:L5" si="1">IF(E4=(E$3+3),0, IF(E4=(E$3+2),1, IF(E4=(E$3+1),2, IF(E4=E$3, 3, IF(E4=(E$3-1),5, IF(E4=(E$3-2),8, IF(E4=(E$3-3),12, 0)))))))</f>
        <v>8</v>
      </c>
      <c r="F5" s="42">
        <f t="shared" si="1"/>
        <v>8</v>
      </c>
      <c r="G5" s="42">
        <f t="shared" si="1"/>
        <v>3</v>
      </c>
      <c r="H5" s="42">
        <f t="shared" si="1"/>
        <v>1</v>
      </c>
      <c r="I5" s="42">
        <f t="shared" si="1"/>
        <v>3</v>
      </c>
      <c r="J5" s="42">
        <f t="shared" si="1"/>
        <v>5</v>
      </c>
      <c r="K5" s="42">
        <f t="shared" si="1"/>
        <v>1</v>
      </c>
      <c r="L5" s="42">
        <f t="shared" si="1"/>
        <v>5</v>
      </c>
      <c r="M5" s="21">
        <f t="shared" ref="M5:M6" si="2">IF($C5="","",SUM(D5:L5))</f>
        <v>36</v>
      </c>
      <c r="N5" s="42">
        <f>IF(N4=(N$3+3),0, IF(N4=(N$3+2),1, IF(N4=(N$3+1),2, IF(N4=N$3, 3, IF(N4=(N$3-1),5, IF(N4=(N$3-2),8, IF(N4=(N$3-3),12, 0)))))))</f>
        <v>12</v>
      </c>
      <c r="O5" s="42">
        <f t="shared" ref="O5:V5" si="3">IF(O4=(O$3+3),0, IF(O4=(O$3+2),1, IF(O4=(O$3+1),2, IF(O4=O$3, 3, IF(O4=(O$3-1),5, IF(O4=(O$3-2),8, IF(O4=(O$3-3),12, 0)))))))</f>
        <v>8</v>
      </c>
      <c r="P5" s="42">
        <f t="shared" si="3"/>
        <v>12</v>
      </c>
      <c r="Q5" s="42">
        <f t="shared" si="3"/>
        <v>5</v>
      </c>
      <c r="R5" s="42">
        <f t="shared" si="3"/>
        <v>3</v>
      </c>
      <c r="S5" s="42">
        <f t="shared" si="3"/>
        <v>3</v>
      </c>
      <c r="T5" s="42">
        <f t="shared" si="3"/>
        <v>3</v>
      </c>
      <c r="U5" s="42">
        <f t="shared" si="3"/>
        <v>3</v>
      </c>
      <c r="V5" s="42">
        <f t="shared" si="3"/>
        <v>2</v>
      </c>
      <c r="W5" s="21">
        <f t="shared" ref="W5:W49" si="4">IF($C5="","",SUM(N5:V5))</f>
        <v>51</v>
      </c>
      <c r="X5" s="22">
        <f t="shared" si="0"/>
        <v>51</v>
      </c>
      <c r="Y5" s="23">
        <f>M5+X5</f>
        <v>87</v>
      </c>
      <c r="Z5" s="24"/>
      <c r="AA5" s="25"/>
      <c r="AB5" s="25"/>
      <c r="AC5" s="25"/>
      <c r="AD5" s="26"/>
      <c r="AE5" s="38"/>
      <c r="AF5" s="38"/>
    </row>
    <row r="6" spans="1:36">
      <c r="A6" s="53" t="s">
        <v>47</v>
      </c>
      <c r="B6" s="48" t="s">
        <v>38</v>
      </c>
      <c r="C6" s="13" t="s">
        <v>23</v>
      </c>
      <c r="D6" s="39">
        <v>5</v>
      </c>
      <c r="E6" s="40">
        <v>4</v>
      </c>
      <c r="F6" s="40">
        <v>6</v>
      </c>
      <c r="G6" s="40">
        <v>5</v>
      </c>
      <c r="H6" s="40">
        <v>5</v>
      </c>
      <c r="I6" s="40">
        <v>3</v>
      </c>
      <c r="J6" s="40">
        <v>3</v>
      </c>
      <c r="K6" s="40">
        <v>2</v>
      </c>
      <c r="L6" s="41">
        <v>2</v>
      </c>
      <c r="M6" s="14">
        <f t="shared" si="2"/>
        <v>35</v>
      </c>
      <c r="N6" s="39">
        <v>2</v>
      </c>
      <c r="O6" s="40">
        <v>3</v>
      </c>
      <c r="P6" s="40">
        <v>3</v>
      </c>
      <c r="Q6" s="40">
        <v>1</v>
      </c>
      <c r="R6" s="40">
        <v>4</v>
      </c>
      <c r="S6" s="40">
        <v>2</v>
      </c>
      <c r="T6" s="40">
        <v>2</v>
      </c>
      <c r="U6" s="40">
        <v>3</v>
      </c>
      <c r="V6" s="41">
        <v>3</v>
      </c>
      <c r="W6" s="14">
        <f t="shared" si="4"/>
        <v>23</v>
      </c>
      <c r="X6" s="15">
        <f t="shared" ref="X6:X31" si="5">IF($C6="","",SUM(N6:V6))</f>
        <v>23</v>
      </c>
      <c r="Y6" s="16">
        <f>M6+X6</f>
        <v>58</v>
      </c>
      <c r="Z6" s="17">
        <f>SUMPRODUCT(($D6:$L6-$D$3:$L$3&lt;=--Z$1)+($N6:$V6-$N$3:$V$3&lt;=--Z$1))</f>
        <v>7</v>
      </c>
      <c r="AA6" s="18">
        <f>SUMPRODUCT(($D6:$L6-$D$3:$L$3=--AA$1)+($N6:$V6-$N$3:$V$3=--AA$1))</f>
        <v>4</v>
      </c>
      <c r="AB6" s="18">
        <f>SUMPRODUCT(($D6:$L6-$D$3:$L$3=--AB$1)+($N6:$V6-$N$3:$V$3=--AB$1))</f>
        <v>3</v>
      </c>
      <c r="AC6" s="18">
        <f>SUMPRODUCT(($D6:$L6-$D$3:$L$3=--AC$1)+($N6:$V6-$N$3:$V$3=--AC$1))</f>
        <v>2</v>
      </c>
      <c r="AD6" s="19">
        <f>SUMPRODUCT(($D6:$L6-$D$3:$L$3&gt;=--AD$1)+($N6:$V6-$N$3:$V$3&gt;=--AD$1))</f>
        <v>2</v>
      </c>
      <c r="AE6" s="38">
        <f>SUMPRODUCT(Z6:AD6/{100,100000,100000000,100000000000,100000000000000})</f>
        <v>7.0040030020020003E-2</v>
      </c>
      <c r="AF6" s="38"/>
    </row>
    <row r="7" spans="1:36">
      <c r="A7" s="54"/>
      <c r="B7" s="49"/>
      <c r="C7" s="20" t="s">
        <v>24</v>
      </c>
      <c r="D7" s="42">
        <f>IF(D6=(D$3+3),0, IF(D6=(D$3+2),1, IF(D6=(D$3+1),2, IF(D6=D$3, 3, IF(D6=(D$3-1),5, IF(D6=(D$3-2),8, IF(D6=(D$3-3),12, 0)))))))</f>
        <v>2</v>
      </c>
      <c r="E7" s="42">
        <f t="shared" ref="E7:L7" si="6">IF(E6=(E$3+3),0, IF(E6=(E$3+2),1, IF(E6=(E$3+1),2, IF(E6=E$3, 3, IF(E6=(E$3-1),5, IF(E6=(E$3-2),8, IF(E6=(E$3-3),12, 0)))))))</f>
        <v>3</v>
      </c>
      <c r="F7" s="42">
        <f t="shared" si="6"/>
        <v>0</v>
      </c>
      <c r="G7" s="42">
        <f t="shared" si="6"/>
        <v>2</v>
      </c>
      <c r="H7" s="42">
        <f t="shared" si="6"/>
        <v>1</v>
      </c>
      <c r="I7" s="42">
        <f t="shared" si="6"/>
        <v>5</v>
      </c>
      <c r="J7" s="42">
        <f t="shared" si="6"/>
        <v>8</v>
      </c>
      <c r="K7" s="42">
        <f t="shared" si="6"/>
        <v>8</v>
      </c>
      <c r="L7" s="42">
        <f t="shared" si="6"/>
        <v>12</v>
      </c>
      <c r="M7" s="21">
        <f t="shared" ref="M7:M31" si="7">IF($C7="","",SUM(D7:L7))</f>
        <v>41</v>
      </c>
      <c r="N7" s="42">
        <f>IF(N6=(N$3+3),0, IF(N6=(N$3+2),1, IF(N6=(N$3+1),2, IF(N6=N$3, 3, IF(N6=(N$3-1),5, IF(N6=(N$3-2),8, IF(N6=(N$3-3),12, 0)))))))</f>
        <v>8</v>
      </c>
      <c r="O7" s="42">
        <f t="shared" ref="O7:V7" si="8">IF(O6=(O$3+3),0, IF(O6=(O$3+2),1, IF(O6=(O$3+1),2, IF(O6=O$3, 3, IF(O6=(O$3-1),5, IF(O6=(O$3-2),8, IF(O6=(O$3-3),12, 0)))))))</f>
        <v>5</v>
      </c>
      <c r="P7" s="42">
        <f t="shared" si="8"/>
        <v>8</v>
      </c>
      <c r="Q7" s="42">
        <f t="shared" si="8"/>
        <v>12</v>
      </c>
      <c r="R7" s="42">
        <f t="shared" si="8"/>
        <v>3</v>
      </c>
      <c r="S7" s="42">
        <f t="shared" si="8"/>
        <v>5</v>
      </c>
      <c r="T7" s="42">
        <f t="shared" si="8"/>
        <v>12</v>
      </c>
      <c r="U7" s="42">
        <f t="shared" si="8"/>
        <v>3</v>
      </c>
      <c r="V7" s="42">
        <f t="shared" si="8"/>
        <v>5</v>
      </c>
      <c r="W7" s="21">
        <f t="shared" si="4"/>
        <v>61</v>
      </c>
      <c r="X7" s="22">
        <f t="shared" si="5"/>
        <v>61</v>
      </c>
      <c r="Y7" s="23">
        <f>M7+X7</f>
        <v>102</v>
      </c>
      <c r="Z7" s="24"/>
      <c r="AA7" s="25"/>
      <c r="AB7" s="25"/>
      <c r="AC7" s="25"/>
      <c r="AD7" s="26"/>
      <c r="AE7" s="38"/>
      <c r="AF7" s="38"/>
    </row>
    <row r="8" spans="1:36">
      <c r="A8" s="53" t="s">
        <v>47</v>
      </c>
      <c r="B8" s="48" t="s">
        <v>39</v>
      </c>
      <c r="C8" s="13" t="s">
        <v>23</v>
      </c>
      <c r="D8" s="39">
        <v>1</v>
      </c>
      <c r="E8" s="40">
        <v>2</v>
      </c>
      <c r="F8" s="40">
        <v>10</v>
      </c>
      <c r="G8" s="40">
        <v>2</v>
      </c>
      <c r="H8" s="40">
        <v>8</v>
      </c>
      <c r="I8" s="40">
        <v>1</v>
      </c>
      <c r="J8" s="40">
        <v>3</v>
      </c>
      <c r="K8" s="40">
        <v>4</v>
      </c>
      <c r="L8" s="41">
        <v>7</v>
      </c>
      <c r="M8" s="14">
        <f t="shared" si="7"/>
        <v>38</v>
      </c>
      <c r="N8" s="39">
        <v>5</v>
      </c>
      <c r="O8" s="40">
        <v>3</v>
      </c>
      <c r="P8" s="40">
        <v>5</v>
      </c>
      <c r="Q8" s="40">
        <v>5</v>
      </c>
      <c r="R8" s="40">
        <v>3</v>
      </c>
      <c r="S8" s="40">
        <v>3</v>
      </c>
      <c r="T8" s="40">
        <v>7</v>
      </c>
      <c r="U8" s="40">
        <v>3</v>
      </c>
      <c r="V8" s="41">
        <v>5</v>
      </c>
      <c r="W8" s="14">
        <f t="shared" si="4"/>
        <v>39</v>
      </c>
      <c r="X8" s="15">
        <f t="shared" si="5"/>
        <v>39</v>
      </c>
      <c r="Y8" s="16">
        <f>M8+X8</f>
        <v>77</v>
      </c>
      <c r="Z8" s="17">
        <f>SUMPRODUCT(($D8:$L8-$D$3:$L$3&lt;=--Z$1)+($N8:$V8-$N$3:$V$3&lt;=--Z$1))</f>
        <v>5</v>
      </c>
      <c r="AA8" s="18">
        <f>SUMPRODUCT(($D8:$L8-$D$3:$L$3=--AA$1)+($N8:$V8-$N$3:$V$3=--AA$1))</f>
        <v>2</v>
      </c>
      <c r="AB8" s="18">
        <f>SUMPRODUCT(($D8:$L8-$D$3:$L$3=--AB$1)+($N8:$V8-$N$3:$V$3=--AB$1))</f>
        <v>4</v>
      </c>
      <c r="AC8" s="18">
        <f>SUMPRODUCT(($D8:$L8-$D$3:$L$3=--AC$1)+($N8:$V8-$N$3:$V$3=--AC$1))</f>
        <v>3</v>
      </c>
      <c r="AD8" s="19">
        <f>SUMPRODUCT(($D8:$L8-$D$3:$L$3&gt;=--AD$1)+($N8:$V8-$N$3:$V$3&gt;=--AD$1))</f>
        <v>4</v>
      </c>
      <c r="AE8" s="38">
        <f>SUMPRODUCT(Z8:AD8/{100,100000,100000000,100000000000,100000000000000})</f>
        <v>5.0020040030040007E-2</v>
      </c>
      <c r="AF8" s="38"/>
    </row>
    <row r="9" spans="1:36">
      <c r="A9" s="54"/>
      <c r="B9" s="49"/>
      <c r="C9" s="20" t="s">
        <v>24</v>
      </c>
      <c r="D9" s="42">
        <f>IF(D8=(D$3+3),0, IF(D8=(D$3+2),1, IF(D8=(D$3+1),2, IF(D8=D$3, 3, IF(D8=(D$3-1),5, IF(D8=(D$3-2),8, IF(D8=(D$3-3),12, 0)))))))</f>
        <v>12</v>
      </c>
      <c r="E9" s="42">
        <f t="shared" ref="E9:L9" si="9">IF(E8=(E$3+3),0, IF(E8=(E$3+2),1, IF(E8=(E$3+1),2, IF(E8=E$3, 3, IF(E8=(E$3-1),5, IF(E8=(E$3-2),8, IF(E8=(E$3-3),12, 0)))))))</f>
        <v>8</v>
      </c>
      <c r="F9" s="42">
        <f t="shared" si="9"/>
        <v>0</v>
      </c>
      <c r="G9" s="42">
        <f t="shared" si="9"/>
        <v>8</v>
      </c>
      <c r="H9" s="42">
        <f t="shared" si="9"/>
        <v>0</v>
      </c>
      <c r="I9" s="42">
        <f t="shared" si="9"/>
        <v>12</v>
      </c>
      <c r="J9" s="42">
        <f t="shared" si="9"/>
        <v>8</v>
      </c>
      <c r="K9" s="42">
        <f t="shared" si="9"/>
        <v>3</v>
      </c>
      <c r="L9" s="42">
        <f t="shared" si="9"/>
        <v>1</v>
      </c>
      <c r="M9" s="21">
        <f t="shared" si="7"/>
        <v>52</v>
      </c>
      <c r="N9" s="42">
        <f>IF(N8=(N$3+3),0, IF(N8=(N$3+2),1, IF(N8=(N$3+1),2, IF(N8=N$3, 3, IF(N8=(N$3-1),5, IF(N8=(N$3-2),8, IF(N8=(N$3-3),12, 0)))))))</f>
        <v>2</v>
      </c>
      <c r="O9" s="42">
        <f t="shared" ref="O9:V9" si="10">IF(O8=(O$3+3),0, IF(O8=(O$3+2),1, IF(O8=(O$3+1),2, IF(O8=O$3, 3, IF(O8=(O$3-1),5, IF(O8=(O$3-2),8, IF(O8=(O$3-3),12, 0)))))))</f>
        <v>5</v>
      </c>
      <c r="P9" s="42">
        <f t="shared" si="10"/>
        <v>3</v>
      </c>
      <c r="Q9" s="42">
        <f t="shared" si="10"/>
        <v>2</v>
      </c>
      <c r="R9" s="42">
        <f t="shared" si="10"/>
        <v>5</v>
      </c>
      <c r="S9" s="42">
        <f t="shared" si="10"/>
        <v>3</v>
      </c>
      <c r="T9" s="42">
        <f t="shared" si="10"/>
        <v>1</v>
      </c>
      <c r="U9" s="42">
        <f t="shared" si="10"/>
        <v>3</v>
      </c>
      <c r="V9" s="42">
        <f t="shared" si="10"/>
        <v>2</v>
      </c>
      <c r="W9" s="21">
        <f t="shared" si="4"/>
        <v>26</v>
      </c>
      <c r="X9" s="22">
        <f t="shared" si="5"/>
        <v>26</v>
      </c>
      <c r="Y9" s="23">
        <f>M9+X9</f>
        <v>78</v>
      </c>
      <c r="Z9" s="24"/>
      <c r="AA9" s="25"/>
      <c r="AB9" s="25"/>
      <c r="AC9" s="25"/>
      <c r="AD9" s="26"/>
      <c r="AE9" s="38"/>
      <c r="AF9" s="38"/>
    </row>
    <row r="10" spans="1:36">
      <c r="A10" s="53" t="s">
        <v>47</v>
      </c>
      <c r="B10" s="48" t="s">
        <v>40</v>
      </c>
      <c r="C10" s="13" t="s">
        <v>23</v>
      </c>
      <c r="D10" s="39">
        <v>6</v>
      </c>
      <c r="E10" s="40">
        <v>4</v>
      </c>
      <c r="F10" s="40">
        <v>3</v>
      </c>
      <c r="G10" s="40">
        <v>5</v>
      </c>
      <c r="H10" s="40">
        <v>2</v>
      </c>
      <c r="I10" s="40">
        <v>5</v>
      </c>
      <c r="J10" s="40">
        <v>5</v>
      </c>
      <c r="K10" s="40">
        <v>7</v>
      </c>
      <c r="L10" s="41">
        <v>2</v>
      </c>
      <c r="M10" s="14">
        <f t="shared" si="7"/>
        <v>39</v>
      </c>
      <c r="N10" s="39">
        <v>5</v>
      </c>
      <c r="O10" s="40">
        <v>4</v>
      </c>
      <c r="P10" s="40">
        <v>6</v>
      </c>
      <c r="Q10" s="40">
        <v>7</v>
      </c>
      <c r="R10" s="40">
        <v>7</v>
      </c>
      <c r="S10" s="40">
        <v>2</v>
      </c>
      <c r="T10" s="40">
        <v>6</v>
      </c>
      <c r="U10" s="40">
        <v>3</v>
      </c>
      <c r="V10" s="41">
        <v>6</v>
      </c>
      <c r="W10" s="14">
        <f t="shared" si="4"/>
        <v>46</v>
      </c>
      <c r="X10" s="15">
        <f t="shared" si="5"/>
        <v>46</v>
      </c>
      <c r="Y10" s="16">
        <f>M10+X10</f>
        <v>85</v>
      </c>
      <c r="Z10" s="17">
        <f>SUMPRODUCT(($D10:$L10-$D$3:$L$3&lt;=--Z$1)+($N10:$V10-$N$3:$V$3&lt;=--Z$1))</f>
        <v>1</v>
      </c>
      <c r="AA10" s="18">
        <f>SUMPRODUCT(($D10:$L10-$D$3:$L$3=--AA$1)+($N10:$V10-$N$3:$V$3=--AA$1))</f>
        <v>2</v>
      </c>
      <c r="AB10" s="18">
        <f>SUMPRODUCT(($D10:$L10-$D$3:$L$3=--AB$1)+($N10:$V10-$N$3:$V$3=--AB$1))</f>
        <v>5</v>
      </c>
      <c r="AC10" s="18">
        <f>SUMPRODUCT(($D10:$L10-$D$3:$L$3=--AC$1)+($N10:$V10-$N$3:$V$3=--AC$1))</f>
        <v>5</v>
      </c>
      <c r="AD10" s="19">
        <f>SUMPRODUCT(($D10:$L10-$D$3:$L$3&gt;=--AD$1)+($N10:$V10-$N$3:$V$3&gt;=--AD$1))</f>
        <v>5</v>
      </c>
      <c r="AE10" s="38">
        <f>SUMPRODUCT(Z10:AD10/{100,100000,100000000,100000000000,100000000000000})</f>
        <v>1.002005005005E-2</v>
      </c>
      <c r="AF10" s="38"/>
    </row>
    <row r="11" spans="1:36">
      <c r="A11" s="54"/>
      <c r="B11" s="49"/>
      <c r="C11" s="20" t="s">
        <v>24</v>
      </c>
      <c r="D11" s="42">
        <f>IF(D10=(D$3+3),0, IF(D10=(D$3+2),1, IF(D10=(D$3+1),2, IF(D10=D$3, 3, IF(D10=(D$3-1),5, IF(D10=(D$3-2),8, IF(D10=(D$3-3),12, 0)))))))</f>
        <v>1</v>
      </c>
      <c r="E11" s="42">
        <f>IF(E10=(E$3+3),0, IF(E10=(E$3+2),1, IF(E10=(E$3+1),2, IF(E10=E$3, 3, IF(E10=(E$3-1),5, IF(E10=(E$3-2),8, IF(E10=(E$3-3),12, 0)))))))</f>
        <v>3</v>
      </c>
      <c r="F11" s="42">
        <f t="shared" ref="F11:L11" si="11">IF(F10=(F$3+3),0, IF(F10=(F$3+2),1, IF(F10=(F$3+1),2, IF(F10=F$3, 3, IF(F10=(F$3-1),5, IF(F10=(F$3-2),8, IF(F10=(F$3-3),12, 0)))))))</f>
        <v>3</v>
      </c>
      <c r="G11" s="42">
        <f t="shared" si="11"/>
        <v>2</v>
      </c>
      <c r="H11" s="42">
        <f t="shared" si="11"/>
        <v>5</v>
      </c>
      <c r="I11" s="42">
        <f t="shared" si="11"/>
        <v>2</v>
      </c>
      <c r="J11" s="42">
        <f t="shared" si="11"/>
        <v>3</v>
      </c>
      <c r="K11" s="42">
        <f t="shared" si="11"/>
        <v>0</v>
      </c>
      <c r="L11" s="42">
        <f t="shared" si="11"/>
        <v>12</v>
      </c>
      <c r="M11" s="21">
        <f t="shared" si="7"/>
        <v>31</v>
      </c>
      <c r="N11" s="42">
        <f>IF(N10=(N$3+3),0, IF(N10=(N$3+2),1, IF(N10=(N$3+1),2, IF(N10=N$3, 3, IF(N10=(N$3-1),5, IF(N10=(N$3-2),8, IF(N10=(N$3-3),12, 0)))))))</f>
        <v>2</v>
      </c>
      <c r="O11" s="42">
        <f t="shared" ref="O11:V11" si="12">IF(O10=(O$3+3),0, IF(O10=(O$3+2),1, IF(O10=(O$3+1),2, IF(O10=O$3, 3, IF(O10=(O$3-1),5, IF(O10=(O$3-2),8, IF(O10=(O$3-3),12, 0)))))))</f>
        <v>3</v>
      </c>
      <c r="P11" s="42">
        <f t="shared" si="12"/>
        <v>2</v>
      </c>
      <c r="Q11" s="42">
        <f t="shared" si="12"/>
        <v>0</v>
      </c>
      <c r="R11" s="42">
        <f t="shared" si="12"/>
        <v>0</v>
      </c>
      <c r="S11" s="42">
        <f t="shared" si="12"/>
        <v>5</v>
      </c>
      <c r="T11" s="42">
        <f t="shared" si="12"/>
        <v>2</v>
      </c>
      <c r="U11" s="42">
        <f t="shared" si="12"/>
        <v>3</v>
      </c>
      <c r="V11" s="42">
        <f t="shared" si="12"/>
        <v>1</v>
      </c>
      <c r="W11" s="21">
        <f t="shared" si="4"/>
        <v>18</v>
      </c>
      <c r="X11" s="22">
        <f t="shared" si="5"/>
        <v>18</v>
      </c>
      <c r="Y11" s="23">
        <f>M11+X11</f>
        <v>49</v>
      </c>
      <c r="Z11" s="24"/>
      <c r="AA11" s="25"/>
      <c r="AB11" s="25"/>
      <c r="AC11" s="25"/>
      <c r="AD11" s="26"/>
      <c r="AE11" s="38"/>
      <c r="AF11" s="38"/>
    </row>
    <row r="12" spans="1:36">
      <c r="A12" s="53" t="s">
        <v>47</v>
      </c>
      <c r="B12" s="48" t="s">
        <v>41</v>
      </c>
      <c r="C12" s="13" t="s">
        <v>23</v>
      </c>
      <c r="D12" s="39">
        <v>5</v>
      </c>
      <c r="E12" s="40">
        <v>4</v>
      </c>
      <c r="F12" s="40">
        <v>4</v>
      </c>
      <c r="G12" s="40">
        <v>4</v>
      </c>
      <c r="H12" s="40">
        <v>2</v>
      </c>
      <c r="I12" s="40">
        <v>1</v>
      </c>
      <c r="J12" s="40">
        <v>2</v>
      </c>
      <c r="K12" s="40">
        <v>3</v>
      </c>
      <c r="L12" s="41">
        <v>5</v>
      </c>
      <c r="M12" s="14">
        <f t="shared" si="7"/>
        <v>30</v>
      </c>
      <c r="N12" s="39">
        <v>2</v>
      </c>
      <c r="O12" s="40">
        <v>5</v>
      </c>
      <c r="P12" s="40">
        <v>5</v>
      </c>
      <c r="Q12" s="40">
        <v>6</v>
      </c>
      <c r="R12" s="40">
        <v>5</v>
      </c>
      <c r="S12" s="40">
        <v>2</v>
      </c>
      <c r="T12" s="40">
        <v>5</v>
      </c>
      <c r="U12" s="40">
        <v>3</v>
      </c>
      <c r="V12" s="41">
        <v>5</v>
      </c>
      <c r="W12" s="14">
        <f t="shared" si="4"/>
        <v>38</v>
      </c>
      <c r="X12" s="15">
        <f t="shared" si="5"/>
        <v>38</v>
      </c>
      <c r="Y12" s="16">
        <f>M12+X12</f>
        <v>68</v>
      </c>
      <c r="Z12" s="17">
        <f>SUMPRODUCT(($D12:$L12-$D$3:$L$3&lt;=--Z$1)+($N12:$V12-$N$3:$V$3&lt;=--Z$1))</f>
        <v>3</v>
      </c>
      <c r="AA12" s="18">
        <f>SUMPRODUCT(($D12:$L12-$D$3:$L$3=--AA$1)+($N12:$V12-$N$3:$V$3=--AA$1))</f>
        <v>3</v>
      </c>
      <c r="AB12" s="18">
        <f>SUMPRODUCT(($D12:$L12-$D$3:$L$3=--AB$1)+($N12:$V12-$N$3:$V$3=--AB$1))</f>
        <v>6</v>
      </c>
      <c r="AC12" s="18">
        <f>SUMPRODUCT(($D12:$L12-$D$3:$L$3=--AC$1)+($N12:$V12-$N$3:$V$3=--AC$1))</f>
        <v>5</v>
      </c>
      <c r="AD12" s="19">
        <f>SUMPRODUCT(($D12:$L12-$D$3:$L$3&gt;=--AD$1)+($N12:$V12-$N$3:$V$3&gt;=--AD$1))</f>
        <v>1</v>
      </c>
      <c r="AE12" s="38">
        <f>SUMPRODUCT(Z12:AD12/{100,100000,100000000,100000000000,100000000000000})</f>
        <v>3.0030060050009997E-2</v>
      </c>
      <c r="AF12" s="38"/>
    </row>
    <row r="13" spans="1:36">
      <c r="A13" s="54"/>
      <c r="B13" s="49"/>
      <c r="C13" s="20" t="s">
        <v>24</v>
      </c>
      <c r="D13" s="42">
        <f>IF(D12=(D$3+3),0, IF(D12=(D$3+2),1, IF(D12=(D$3+1),2, IF(D12=D$3, 3, IF(D12=(D$3-1),5, IF(D12=(D$3-2),8, IF(D12=(D$3-3),12, 0)))))))</f>
        <v>2</v>
      </c>
      <c r="E13" s="42">
        <f>IF(E12=(E$3+3),0, IF(E12=(E$3+2),1, IF(E12=(E$3+1),2, IF(E12=E$3, 3, IF(E12=(E$3-1),5, IF(E12=(E$3-2),8, IF(E12=(E$3-3),12, 0)))))))</f>
        <v>3</v>
      </c>
      <c r="F13" s="42">
        <f t="shared" ref="F13:L13" si="13">IF(F12=(F$3+3),0, IF(F12=(F$3+2),1, IF(F12=(F$3+1),2, IF(F12=F$3, 3, IF(F12=(F$3-1),5, IF(F12=(F$3-2),8, IF(F12=(F$3-3),12, 0)))))))</f>
        <v>2</v>
      </c>
      <c r="G13" s="42">
        <f t="shared" si="13"/>
        <v>3</v>
      </c>
      <c r="H13" s="42">
        <f t="shared" si="13"/>
        <v>5</v>
      </c>
      <c r="I13" s="42">
        <f t="shared" si="13"/>
        <v>12</v>
      </c>
      <c r="J13" s="42">
        <f t="shared" si="13"/>
        <v>12</v>
      </c>
      <c r="K13" s="42">
        <f t="shared" si="13"/>
        <v>5</v>
      </c>
      <c r="L13" s="42">
        <f t="shared" si="13"/>
        <v>3</v>
      </c>
      <c r="M13" s="21">
        <f t="shared" si="7"/>
        <v>47</v>
      </c>
      <c r="N13" s="42">
        <f>IF(N12=(N$3+3),0, IF(N12=(N$3+2),1, IF(N12=(N$3+1),2, IF(N12=N$3, 3, IF(N12=(N$3-1),5, IF(N12=(N$3-2),8, IF(N12=(N$3-3),12, 0)))))))</f>
        <v>8</v>
      </c>
      <c r="O13" s="42">
        <f t="shared" ref="O13:V13" si="14">IF(O12=(O$3+3),0, IF(O12=(O$3+2),1, IF(O12=(O$3+1),2, IF(O12=O$3, 3, IF(O12=(O$3-1),5, IF(O12=(O$3-2),8, IF(O12=(O$3-3),12, 0)))))))</f>
        <v>2</v>
      </c>
      <c r="P13" s="42">
        <f t="shared" si="14"/>
        <v>3</v>
      </c>
      <c r="Q13" s="42">
        <f t="shared" si="14"/>
        <v>1</v>
      </c>
      <c r="R13" s="42">
        <f t="shared" si="14"/>
        <v>2</v>
      </c>
      <c r="S13" s="42">
        <f t="shared" si="14"/>
        <v>5</v>
      </c>
      <c r="T13" s="42">
        <f t="shared" si="14"/>
        <v>3</v>
      </c>
      <c r="U13" s="42">
        <f t="shared" si="14"/>
        <v>3</v>
      </c>
      <c r="V13" s="42">
        <f t="shared" si="14"/>
        <v>2</v>
      </c>
      <c r="W13" s="21">
        <f t="shared" si="4"/>
        <v>29</v>
      </c>
      <c r="X13" s="22">
        <f t="shared" si="5"/>
        <v>29</v>
      </c>
      <c r="Y13" s="23">
        <f>M13+X13</f>
        <v>76</v>
      </c>
      <c r="Z13" s="24"/>
      <c r="AA13" s="25"/>
      <c r="AB13" s="25"/>
      <c r="AC13" s="25"/>
      <c r="AD13" s="26"/>
      <c r="AE13" s="38"/>
      <c r="AF13" s="3"/>
    </row>
    <row r="14" spans="1:36">
      <c r="A14" s="53" t="s">
        <v>47</v>
      </c>
      <c r="B14" s="48" t="s">
        <v>42</v>
      </c>
      <c r="C14" s="13" t="s">
        <v>23</v>
      </c>
      <c r="D14" s="39">
        <v>4</v>
      </c>
      <c r="E14" s="40">
        <v>5</v>
      </c>
      <c r="F14" s="40">
        <v>3</v>
      </c>
      <c r="G14" s="40">
        <v>6</v>
      </c>
      <c r="H14" s="40">
        <v>3</v>
      </c>
      <c r="I14" s="40">
        <v>4</v>
      </c>
      <c r="J14" s="40">
        <v>5</v>
      </c>
      <c r="K14" s="40">
        <v>4</v>
      </c>
      <c r="L14" s="41">
        <v>4</v>
      </c>
      <c r="M14" s="14">
        <f t="shared" si="7"/>
        <v>38</v>
      </c>
      <c r="N14" s="39">
        <v>5</v>
      </c>
      <c r="O14" s="40">
        <v>4</v>
      </c>
      <c r="P14" s="40">
        <v>6</v>
      </c>
      <c r="Q14" s="40">
        <v>4</v>
      </c>
      <c r="R14" s="40">
        <v>4</v>
      </c>
      <c r="S14" s="40">
        <v>3</v>
      </c>
      <c r="T14" s="40">
        <v>3</v>
      </c>
      <c r="U14" s="40">
        <v>3</v>
      </c>
      <c r="V14" s="41">
        <v>5</v>
      </c>
      <c r="W14" s="14">
        <f t="shared" si="4"/>
        <v>37</v>
      </c>
      <c r="X14" s="15">
        <f t="shared" si="5"/>
        <v>37</v>
      </c>
      <c r="Y14" s="16">
        <f>M14+X14</f>
        <v>75</v>
      </c>
      <c r="Z14" s="17">
        <f>SUMPRODUCT(($D14:$L14-$D$3:$L$3&lt;=--Z$1)+($N14:$V14-$N$3:$V$3&lt;=--Z$1))</f>
        <v>1</v>
      </c>
      <c r="AA14" s="18">
        <f>SUMPRODUCT(($D14:$L14-$D$3:$L$3=--AA$1)+($N14:$V14-$N$3:$V$3=--AA$1))</f>
        <v>1</v>
      </c>
      <c r="AB14" s="18">
        <f>SUMPRODUCT(($D14:$L14-$D$3:$L$3=--AB$1)+($N14:$V14-$N$3:$V$3=--AB$1))</f>
        <v>11</v>
      </c>
      <c r="AC14" s="18">
        <f>SUMPRODUCT(($D14:$L14-$D$3:$L$3=--AC$1)+($N14:$V14-$N$3:$V$3=--AC$1))</f>
        <v>4</v>
      </c>
      <c r="AD14" s="19">
        <f>SUMPRODUCT(($D14:$L14-$D$3:$L$3&gt;=--AD$1)+($N14:$V14-$N$3:$V$3&gt;=--AD$1))</f>
        <v>1</v>
      </c>
      <c r="AE14" s="38">
        <f>SUMPRODUCT(Z14:AD14/{100,100000,100000000,100000000000,100000000000000})</f>
        <v>1.001011004001E-2</v>
      </c>
      <c r="AF14" s="3"/>
    </row>
    <row r="15" spans="1:36">
      <c r="A15" s="54"/>
      <c r="B15" s="49"/>
      <c r="C15" s="20" t="s">
        <v>24</v>
      </c>
      <c r="D15" s="42">
        <f>IF(D14=(D$3+3),0, IF(D14=(D$3+2),1, IF(D14=(D$3+1),2, IF(D14=D$3, 3, IF(D14=(D$3-1),5, IF(D14=(D$3-2),8, IF(D14=(D$3-3),12, 0)))))))</f>
        <v>3</v>
      </c>
      <c r="E15" s="42">
        <f>IF(E14=(E$3+3),0, IF(E14=(E$3+2),1, IF(E14=(E$3+1),2, IF(E14=E$3, 3, IF(E14=(E$3-1),5, IF(E14=(E$3-2),8, IF(E14=(E$3-3),12, 0)))))))</f>
        <v>2</v>
      </c>
      <c r="F15" s="42">
        <f t="shared" ref="F15:L15" si="15">IF(F14=(F$3+3),0, IF(F14=(F$3+2),1, IF(F14=(F$3+1),2, IF(F14=F$3, 3, IF(F14=(F$3-1),5, IF(F14=(F$3-2),8, IF(F14=(F$3-3),12, 0)))))))</f>
        <v>3</v>
      </c>
      <c r="G15" s="42">
        <f t="shared" si="15"/>
        <v>1</v>
      </c>
      <c r="H15" s="42">
        <f t="shared" si="15"/>
        <v>3</v>
      </c>
      <c r="I15" s="42">
        <f t="shared" si="15"/>
        <v>3</v>
      </c>
      <c r="J15" s="42">
        <f t="shared" si="15"/>
        <v>3</v>
      </c>
      <c r="K15" s="42">
        <f t="shared" si="15"/>
        <v>3</v>
      </c>
      <c r="L15" s="42">
        <f t="shared" si="15"/>
        <v>5</v>
      </c>
      <c r="M15" s="21">
        <f t="shared" si="7"/>
        <v>26</v>
      </c>
      <c r="N15" s="42">
        <f>IF(N14=(N$3+3),0, IF(N14=(N$3+2),1, IF(N14=(N$3+1),2, IF(N14=N$3, 3, IF(N14=(N$3-1),5, IF(N14=(N$3-2),8, IF(N14=(N$3-3),12, 0)))))))</f>
        <v>2</v>
      </c>
      <c r="O15" s="42">
        <f t="shared" ref="O15:V15" si="16">IF(O14=(O$3+3),0, IF(O14=(O$3+2),1, IF(O14=(O$3+1),2, IF(O14=O$3, 3, IF(O14=(O$3-1),5, IF(O14=(O$3-2),8, IF(O14=(O$3-3),12, 0)))))))</f>
        <v>3</v>
      </c>
      <c r="P15" s="42">
        <f t="shared" si="16"/>
        <v>2</v>
      </c>
      <c r="Q15" s="42">
        <f t="shared" si="16"/>
        <v>3</v>
      </c>
      <c r="R15" s="42">
        <f t="shared" si="16"/>
        <v>3</v>
      </c>
      <c r="S15" s="42">
        <f t="shared" si="16"/>
        <v>3</v>
      </c>
      <c r="T15" s="42">
        <f t="shared" si="16"/>
        <v>8</v>
      </c>
      <c r="U15" s="42">
        <f t="shared" si="16"/>
        <v>3</v>
      </c>
      <c r="V15" s="42">
        <f t="shared" si="16"/>
        <v>2</v>
      </c>
      <c r="W15" s="21">
        <f t="shared" si="4"/>
        <v>29</v>
      </c>
      <c r="X15" s="22">
        <f t="shared" si="5"/>
        <v>29</v>
      </c>
      <c r="Y15" s="23">
        <f>M15+X15</f>
        <v>55</v>
      </c>
      <c r="Z15" s="24"/>
      <c r="AA15" s="25"/>
      <c r="AB15" s="25"/>
      <c r="AC15" s="25"/>
      <c r="AD15" s="26"/>
      <c r="AE15" s="38"/>
      <c r="AF15" s="3"/>
      <c r="AG15" s="3"/>
      <c r="AH15" s="3"/>
      <c r="AI15" s="3"/>
      <c r="AJ15" s="3"/>
    </row>
    <row r="16" spans="1:36">
      <c r="A16" s="53" t="s">
        <v>47</v>
      </c>
      <c r="B16" s="48" t="s">
        <v>60</v>
      </c>
      <c r="C16" s="13" t="s">
        <v>23</v>
      </c>
      <c r="D16" s="39">
        <v>4</v>
      </c>
      <c r="E16" s="40">
        <v>4</v>
      </c>
      <c r="F16" s="40">
        <v>3</v>
      </c>
      <c r="G16" s="40">
        <v>4</v>
      </c>
      <c r="H16" s="40">
        <v>6</v>
      </c>
      <c r="I16" s="40">
        <v>4</v>
      </c>
      <c r="J16" s="40">
        <v>2</v>
      </c>
      <c r="K16" s="40">
        <v>1</v>
      </c>
      <c r="L16" s="41">
        <v>3</v>
      </c>
      <c r="M16" s="14">
        <f t="shared" si="7"/>
        <v>31</v>
      </c>
      <c r="N16" s="39">
        <v>1</v>
      </c>
      <c r="O16" s="40">
        <v>2</v>
      </c>
      <c r="P16" s="40">
        <v>2</v>
      </c>
      <c r="Q16" s="40">
        <v>2</v>
      </c>
      <c r="R16" s="40">
        <v>5</v>
      </c>
      <c r="S16" s="40">
        <v>4</v>
      </c>
      <c r="T16" s="40">
        <v>6</v>
      </c>
      <c r="U16" s="40">
        <v>5</v>
      </c>
      <c r="V16" s="41">
        <v>6</v>
      </c>
      <c r="W16" s="14">
        <f t="shared" si="4"/>
        <v>33</v>
      </c>
      <c r="X16" s="15">
        <f t="shared" si="5"/>
        <v>33</v>
      </c>
      <c r="Y16" s="16">
        <f>M16+X16</f>
        <v>64</v>
      </c>
      <c r="Z16" s="17">
        <f>SUMPRODUCT(($D16:$L16-$D$3:$L$3&lt;=--Z$1)+($N16:$V16-$N$3:$V$3&lt;=--Z$1))</f>
        <v>7</v>
      </c>
      <c r="AA16" s="18">
        <f>SUMPRODUCT(($D16:$L16-$D$3:$L$3=--AA$1)+($N16:$V16-$N$3:$V$3=--AA$1))</f>
        <v>0</v>
      </c>
      <c r="AB16" s="18">
        <f>SUMPRODUCT(($D16:$L16-$D$3:$L$3=--AB$1)+($N16:$V16-$N$3:$V$3=--AB$1))</f>
        <v>5</v>
      </c>
      <c r="AC16" s="18">
        <f>SUMPRODUCT(($D16:$L16-$D$3:$L$3=--AC$1)+($N16:$V16-$N$3:$V$3=--AC$1))</f>
        <v>3</v>
      </c>
      <c r="AD16" s="19">
        <f>SUMPRODUCT(($D16:$L16-$D$3:$L$3&gt;=--AD$1)+($N16:$V16-$N$3:$V$3&gt;=--AD$1))</f>
        <v>3</v>
      </c>
      <c r="AE16" s="38">
        <f>SUMPRODUCT(Z16:AD16/{100,100000,100000000,100000000000,100000000000000})</f>
        <v>7.0000050030030014E-2</v>
      </c>
      <c r="AF16" s="3"/>
      <c r="AG16" s="3"/>
      <c r="AH16" s="3"/>
      <c r="AI16" s="3"/>
      <c r="AJ16" s="3"/>
    </row>
    <row r="17" spans="1:36">
      <c r="A17" s="54"/>
      <c r="B17" s="49"/>
      <c r="C17" s="20" t="s">
        <v>24</v>
      </c>
      <c r="D17" s="42">
        <f>IF(D16=(D$3+3),0, IF(D16=(D$3+2),1, IF(D16=(D$3+1),2, IF(D16=D$3, 3, IF(D16=(D$3-1),5, IF(D16=(D$3-2),8, IF(D16=(D$3-3),12, 0)))))))</f>
        <v>3</v>
      </c>
      <c r="E17" s="42">
        <f>IF(E16=(E$3+3),0, IF(E16=(E$3+2),1, IF(E16=(E$3+1),2, IF(E16=E$3, 3, IF(E16=(E$3-1),5, IF(E16=(E$3-2),8, IF(E16=(E$3-3),12, 0)))))))</f>
        <v>3</v>
      </c>
      <c r="F17" s="42">
        <f t="shared" ref="F17:L17" si="17">IF(F16=(F$3+3),0, IF(F16=(F$3+2),1, IF(F16=(F$3+1),2, IF(F16=F$3, 3, IF(F16=(F$3-1),5, IF(F16=(F$3-2),8, IF(F16=(F$3-3),12, 0)))))))</f>
        <v>3</v>
      </c>
      <c r="G17" s="42">
        <f t="shared" si="17"/>
        <v>3</v>
      </c>
      <c r="H17" s="42">
        <f t="shared" si="17"/>
        <v>0</v>
      </c>
      <c r="I17" s="42">
        <f t="shared" si="17"/>
        <v>3</v>
      </c>
      <c r="J17" s="42">
        <f t="shared" si="17"/>
        <v>12</v>
      </c>
      <c r="K17" s="42">
        <f t="shared" si="17"/>
        <v>12</v>
      </c>
      <c r="L17" s="42">
        <f t="shared" si="17"/>
        <v>8</v>
      </c>
      <c r="M17" s="21">
        <f t="shared" si="7"/>
        <v>47</v>
      </c>
      <c r="N17" s="42">
        <f>IF(N16=(N$3+3),0, IF(N16=(N$3+2),1, IF(N16=(N$3+1),2, IF(N16=N$3, 3, IF(N16=(N$3-1),5, IF(N16=(N$3-2),8, IF(N16=(N$3-3),12, 0)))))))</f>
        <v>12</v>
      </c>
      <c r="O17" s="42">
        <f t="shared" ref="O17:V17" si="18">IF(O16=(O$3+3),0, IF(O16=(O$3+2),1, IF(O16=(O$3+1),2, IF(O16=O$3, 3, IF(O16=(O$3-1),5, IF(O16=(O$3-2),8, IF(O16=(O$3-3),12, 0)))))))</f>
        <v>8</v>
      </c>
      <c r="P17" s="42">
        <f t="shared" si="18"/>
        <v>12</v>
      </c>
      <c r="Q17" s="42">
        <f t="shared" si="18"/>
        <v>8</v>
      </c>
      <c r="R17" s="42">
        <f t="shared" si="18"/>
        <v>2</v>
      </c>
      <c r="S17" s="42">
        <f t="shared" si="18"/>
        <v>2</v>
      </c>
      <c r="T17" s="42">
        <f t="shared" si="18"/>
        <v>2</v>
      </c>
      <c r="U17" s="42">
        <f t="shared" si="18"/>
        <v>1</v>
      </c>
      <c r="V17" s="42">
        <f t="shared" si="18"/>
        <v>1</v>
      </c>
      <c r="W17" s="21">
        <f t="shared" si="4"/>
        <v>48</v>
      </c>
      <c r="X17" s="22">
        <f t="shared" si="5"/>
        <v>48</v>
      </c>
      <c r="Y17" s="23">
        <f>M17+X17</f>
        <v>95</v>
      </c>
      <c r="Z17" s="24"/>
      <c r="AA17" s="25"/>
      <c r="AB17" s="25"/>
      <c r="AC17" s="25"/>
      <c r="AD17" s="26"/>
      <c r="AE17" s="38"/>
      <c r="AF17" s="3"/>
      <c r="AG17" s="3"/>
      <c r="AH17" s="3"/>
      <c r="AI17" s="3"/>
      <c r="AJ17" s="3"/>
    </row>
    <row r="18" spans="1:36">
      <c r="A18" s="53" t="s">
        <v>47</v>
      </c>
      <c r="B18" s="48" t="s">
        <v>61</v>
      </c>
      <c r="C18" s="13" t="s">
        <v>23</v>
      </c>
      <c r="D18" s="39">
        <v>5</v>
      </c>
      <c r="E18" s="40">
        <v>5</v>
      </c>
      <c r="F18" s="40">
        <v>3</v>
      </c>
      <c r="G18" s="40">
        <v>4</v>
      </c>
      <c r="H18" s="40">
        <v>4</v>
      </c>
      <c r="I18" s="40">
        <v>4</v>
      </c>
      <c r="J18" s="40">
        <v>5</v>
      </c>
      <c r="K18" s="40">
        <v>4</v>
      </c>
      <c r="L18" s="41">
        <v>4</v>
      </c>
      <c r="M18" s="14">
        <f t="shared" si="7"/>
        <v>38</v>
      </c>
      <c r="N18" s="39">
        <v>7</v>
      </c>
      <c r="O18" s="40">
        <v>5</v>
      </c>
      <c r="P18" s="40">
        <v>4</v>
      </c>
      <c r="Q18" s="40">
        <v>5</v>
      </c>
      <c r="R18" s="40">
        <v>6</v>
      </c>
      <c r="S18" s="40">
        <v>3</v>
      </c>
      <c r="T18" s="40">
        <v>6</v>
      </c>
      <c r="U18" s="40">
        <v>4</v>
      </c>
      <c r="V18" s="41">
        <v>6</v>
      </c>
      <c r="W18" s="14">
        <f t="shared" si="4"/>
        <v>46</v>
      </c>
      <c r="X18" s="15">
        <f t="shared" si="5"/>
        <v>46</v>
      </c>
      <c r="Y18" s="16">
        <f>M18+X18</f>
        <v>84</v>
      </c>
      <c r="Z18" s="17">
        <f>SUMPRODUCT(($D18:$L18-$D$3:$L$3&lt;=--Z$1)+($N18:$V18-$N$3:$V$3&lt;=--Z$1))</f>
        <v>0</v>
      </c>
      <c r="AA18" s="18">
        <f>SUMPRODUCT(($D18:$L18-$D$3:$L$3=--AA$1)+($N18:$V18-$N$3:$V$3=--AA$1))</f>
        <v>2</v>
      </c>
      <c r="AB18" s="18">
        <f>SUMPRODUCT(($D18:$L18-$D$3:$L$3=--AB$1)+($N18:$V18-$N$3:$V$3=--AB$1))</f>
        <v>6</v>
      </c>
      <c r="AC18" s="18">
        <f>SUMPRODUCT(($D18:$L18-$D$3:$L$3=--AC$1)+($N18:$V18-$N$3:$V$3=--AC$1))</f>
        <v>7</v>
      </c>
      <c r="AD18" s="19">
        <f>SUMPRODUCT(($D18:$L18-$D$3:$L$3&gt;=--AD$1)+($N18:$V18-$N$3:$V$3&gt;=--AD$1))</f>
        <v>3</v>
      </c>
      <c r="AE18" s="38">
        <f>SUMPRODUCT(Z18:AD18/{100,100000,100000000,100000000000,100000000000000})</f>
        <v>2.0060070030000002E-5</v>
      </c>
      <c r="AF18" s="3"/>
      <c r="AG18" s="3"/>
      <c r="AH18" s="3"/>
      <c r="AI18" s="3"/>
      <c r="AJ18" s="3"/>
    </row>
    <row r="19" spans="1:36">
      <c r="A19" s="54"/>
      <c r="B19" s="49"/>
      <c r="C19" s="20" t="s">
        <v>24</v>
      </c>
      <c r="D19" s="42">
        <f>IF(D18=(D$3+3),0, IF(D18=(D$3+2),1, IF(D18=(D$3+1),2, IF(D18=D$3, 3, IF(D18=(D$3-1),5, IF(D18=(D$3-2),8, IF(D18=(D$3-3),12, 0)))))))</f>
        <v>2</v>
      </c>
      <c r="E19" s="42">
        <f>IF(E18=(E$3+3),0, IF(E18=(E$3+2),1, IF(E18=(E$3+1),2, IF(E18=E$3, 3, IF(E18=(E$3-1),5, IF(E18=(E$3-2),8, IF(E18=(E$3-3),12, 0)))))))</f>
        <v>2</v>
      </c>
      <c r="F19" s="42">
        <f t="shared" ref="F19:L19" si="19">IF(F18=(F$3+3),0, IF(F18=(F$3+2),1, IF(F18=(F$3+1),2, IF(F18=F$3, 3, IF(F18=(F$3-1),5, IF(F18=(F$3-2),8, IF(F18=(F$3-3),12, 0)))))))</f>
        <v>3</v>
      </c>
      <c r="G19" s="42">
        <f t="shared" si="19"/>
        <v>3</v>
      </c>
      <c r="H19" s="42">
        <f t="shared" si="19"/>
        <v>2</v>
      </c>
      <c r="I19" s="42">
        <f t="shared" si="19"/>
        <v>3</v>
      </c>
      <c r="J19" s="42">
        <f t="shared" si="19"/>
        <v>3</v>
      </c>
      <c r="K19" s="42">
        <f t="shared" si="19"/>
        <v>3</v>
      </c>
      <c r="L19" s="42">
        <f t="shared" si="19"/>
        <v>5</v>
      </c>
      <c r="M19" s="21">
        <f t="shared" si="7"/>
        <v>26</v>
      </c>
      <c r="N19" s="42">
        <f>IF(N18=(N$3+3),0, IF(N18=(N$3+2),1, IF(N18=(N$3+1),2, IF(N18=N$3, 3, IF(N18=(N$3-1),5, IF(N18=(N$3-2),8, IF(N18=(N$3-3),12, 0)))))))</f>
        <v>0</v>
      </c>
      <c r="O19" s="42">
        <f t="shared" ref="O19:V19" si="20">IF(O18=(O$3+3),0, IF(O18=(O$3+2),1, IF(O18=(O$3+1),2, IF(O18=O$3, 3, IF(O18=(O$3-1),5, IF(O18=(O$3-2),8, IF(O18=(O$3-3),12, 0)))))))</f>
        <v>2</v>
      </c>
      <c r="P19" s="42">
        <f t="shared" si="20"/>
        <v>5</v>
      </c>
      <c r="Q19" s="42">
        <f t="shared" si="20"/>
        <v>2</v>
      </c>
      <c r="R19" s="42">
        <f t="shared" si="20"/>
        <v>1</v>
      </c>
      <c r="S19" s="42">
        <f t="shared" si="20"/>
        <v>3</v>
      </c>
      <c r="T19" s="42">
        <f t="shared" si="20"/>
        <v>2</v>
      </c>
      <c r="U19" s="42">
        <f t="shared" si="20"/>
        <v>2</v>
      </c>
      <c r="V19" s="42">
        <f t="shared" si="20"/>
        <v>1</v>
      </c>
      <c r="W19" s="21">
        <f t="shared" si="4"/>
        <v>18</v>
      </c>
      <c r="X19" s="22">
        <f t="shared" si="5"/>
        <v>18</v>
      </c>
      <c r="Y19" s="23">
        <f>M19+X19</f>
        <v>44</v>
      </c>
      <c r="Z19" s="24"/>
      <c r="AA19" s="25"/>
      <c r="AB19" s="25"/>
      <c r="AC19" s="25"/>
      <c r="AD19" s="26"/>
      <c r="AE19" s="38"/>
      <c r="AF19" s="3"/>
      <c r="AG19" s="3"/>
      <c r="AH19" s="3"/>
      <c r="AI19" s="3"/>
      <c r="AJ19" s="3"/>
    </row>
    <row r="20" spans="1:36">
      <c r="A20" s="53" t="s">
        <v>47</v>
      </c>
      <c r="B20" s="48" t="s">
        <v>43</v>
      </c>
      <c r="C20" s="13" t="s">
        <v>23</v>
      </c>
      <c r="D20" s="39">
        <v>4</v>
      </c>
      <c r="E20" s="40">
        <v>4</v>
      </c>
      <c r="F20" s="40">
        <v>3</v>
      </c>
      <c r="G20" s="40">
        <v>4</v>
      </c>
      <c r="H20" s="40">
        <v>1</v>
      </c>
      <c r="I20" s="40">
        <v>2</v>
      </c>
      <c r="J20" s="40">
        <v>3</v>
      </c>
      <c r="K20" s="40">
        <v>2</v>
      </c>
      <c r="L20" s="41">
        <v>5</v>
      </c>
      <c r="M20" s="14">
        <f t="shared" si="7"/>
        <v>28</v>
      </c>
      <c r="N20" s="39">
        <v>4</v>
      </c>
      <c r="O20" s="40">
        <v>5</v>
      </c>
      <c r="P20" s="40">
        <v>2</v>
      </c>
      <c r="Q20" s="40">
        <v>4</v>
      </c>
      <c r="R20" s="40">
        <v>4</v>
      </c>
      <c r="S20" s="40">
        <v>1</v>
      </c>
      <c r="T20" s="40">
        <v>8</v>
      </c>
      <c r="U20" s="40">
        <v>2</v>
      </c>
      <c r="V20" s="41">
        <v>4</v>
      </c>
      <c r="W20" s="14">
        <f t="shared" si="4"/>
        <v>34</v>
      </c>
      <c r="X20" s="15">
        <f t="shared" si="5"/>
        <v>34</v>
      </c>
      <c r="Y20" s="16">
        <f>M20+X20</f>
        <v>62</v>
      </c>
      <c r="Z20" s="17">
        <f>SUMPRODUCT(($D20:$L20-$D$3:$L$3&lt;=--Z$1)+($N20:$V20-$N$3:$V$3&lt;=--Z$1))</f>
        <v>6</v>
      </c>
      <c r="AA20" s="18">
        <f>SUMPRODUCT(($D20:$L20-$D$3:$L$3=--AA$1)+($N20:$V20-$N$3:$V$3=--AA$1))</f>
        <v>1</v>
      </c>
      <c r="AB20" s="18">
        <f>SUMPRODUCT(($D20:$L20-$D$3:$L$3=--AB$1)+($N20:$V20-$N$3:$V$3=--AB$1))</f>
        <v>9</v>
      </c>
      <c r="AC20" s="18">
        <f>SUMPRODUCT(($D20:$L20-$D$3:$L$3=--AC$1)+($N20:$V20-$N$3:$V$3=--AC$1))</f>
        <v>1</v>
      </c>
      <c r="AD20" s="19">
        <f>SUMPRODUCT(($D20:$L20-$D$3:$L$3&gt;=--AD$1)+($N20:$V20-$N$3:$V$3&gt;=--AD$1))</f>
        <v>1</v>
      </c>
      <c r="AE20" s="38">
        <f>SUMPRODUCT(Z20:AD20/{100,100000,100000000,100000000000,100000000000000})</f>
        <v>6.0010090010010002E-2</v>
      </c>
      <c r="AF20" s="3"/>
      <c r="AG20" s="3"/>
      <c r="AH20" s="3"/>
      <c r="AI20" s="3"/>
      <c r="AJ20" s="3"/>
    </row>
    <row r="21" spans="1:36">
      <c r="A21" s="54"/>
      <c r="B21" s="49"/>
      <c r="C21" s="20" t="s">
        <v>24</v>
      </c>
      <c r="D21" s="42">
        <f>IF(D20=(D$3+3),0, IF(D20=(D$3+2),1, IF(D20=(D$3+1),2, IF(D20=D$3, 3, IF(D20=(D$3-1),5, IF(D20=(D$3-2),8, IF(D20=(D$3-3),12, 0)))))))</f>
        <v>3</v>
      </c>
      <c r="E21" s="42">
        <f>IF(E20=(E$3+3),0, IF(E20=(E$3+2),1, IF(E20=(E$3+1),2, IF(E20=E$3, 3, IF(E20=(E$3-1),5, IF(E20=(E$3-2),8, IF(E20=(E$3-3),12, 0)))))))</f>
        <v>3</v>
      </c>
      <c r="F21" s="42">
        <f t="shared" ref="F21:L21" si="21">IF(F20=(F$3+3),0, IF(F20=(F$3+2),1, IF(F20=(F$3+1),2, IF(F20=F$3, 3, IF(F20=(F$3-1),5, IF(F20=(F$3-2),8, IF(F20=(F$3-3),12, 0)))))))</f>
        <v>3</v>
      </c>
      <c r="G21" s="42">
        <f t="shared" si="21"/>
        <v>3</v>
      </c>
      <c r="H21" s="42">
        <f t="shared" si="21"/>
        <v>8</v>
      </c>
      <c r="I21" s="42">
        <f t="shared" si="21"/>
        <v>8</v>
      </c>
      <c r="J21" s="42">
        <f t="shared" si="21"/>
        <v>8</v>
      </c>
      <c r="K21" s="42">
        <f t="shared" si="21"/>
        <v>8</v>
      </c>
      <c r="L21" s="42">
        <f t="shared" si="21"/>
        <v>3</v>
      </c>
      <c r="M21" s="21">
        <f t="shared" si="7"/>
        <v>47</v>
      </c>
      <c r="N21" s="42">
        <f>IF(N20=(N$3+3),0, IF(N20=(N$3+2),1, IF(N20=(N$3+1),2, IF(N20=N$3, 3, IF(N20=(N$3-1),5, IF(N20=(N$3-2),8, IF(N20=(N$3-3),12, 0)))))))</f>
        <v>3</v>
      </c>
      <c r="O21" s="42">
        <f t="shared" ref="O21:V21" si="22">IF(O20=(O$3+3),0, IF(O20=(O$3+2),1, IF(O20=(O$3+1),2, IF(O20=O$3, 3, IF(O20=(O$3-1),5, IF(O20=(O$3-2),8, IF(O20=(O$3-3),12, 0)))))))</f>
        <v>2</v>
      </c>
      <c r="P21" s="42">
        <f t="shared" si="22"/>
        <v>12</v>
      </c>
      <c r="Q21" s="42">
        <f t="shared" si="22"/>
        <v>3</v>
      </c>
      <c r="R21" s="42">
        <f t="shared" si="22"/>
        <v>3</v>
      </c>
      <c r="S21" s="42">
        <f t="shared" si="22"/>
        <v>8</v>
      </c>
      <c r="T21" s="42">
        <f t="shared" si="22"/>
        <v>0</v>
      </c>
      <c r="U21" s="42">
        <f t="shared" si="22"/>
        <v>5</v>
      </c>
      <c r="V21" s="42">
        <f t="shared" si="22"/>
        <v>3</v>
      </c>
      <c r="W21" s="21">
        <f t="shared" si="4"/>
        <v>39</v>
      </c>
      <c r="X21" s="22">
        <f t="shared" si="5"/>
        <v>39</v>
      </c>
      <c r="Y21" s="23">
        <f>M21+X21</f>
        <v>86</v>
      </c>
      <c r="Z21" s="24"/>
      <c r="AA21" s="25"/>
      <c r="AB21" s="25"/>
      <c r="AC21" s="25"/>
      <c r="AD21" s="26"/>
      <c r="AE21" s="38"/>
      <c r="AF21" s="3"/>
      <c r="AG21" s="3"/>
      <c r="AH21" s="3"/>
      <c r="AI21" s="3"/>
      <c r="AJ21" s="3"/>
    </row>
    <row r="22" spans="1:36">
      <c r="A22" s="53" t="s">
        <v>47</v>
      </c>
      <c r="B22" s="48" t="s">
        <v>44</v>
      </c>
      <c r="C22" s="13" t="s">
        <v>23</v>
      </c>
      <c r="D22" s="39">
        <v>4</v>
      </c>
      <c r="E22" s="40">
        <v>4</v>
      </c>
      <c r="F22" s="40">
        <v>4</v>
      </c>
      <c r="G22" s="40">
        <v>4</v>
      </c>
      <c r="H22" s="40">
        <v>3</v>
      </c>
      <c r="I22" s="40">
        <v>4</v>
      </c>
      <c r="J22" s="40">
        <v>2</v>
      </c>
      <c r="K22" s="40">
        <v>4</v>
      </c>
      <c r="L22" s="41">
        <v>5</v>
      </c>
      <c r="M22" s="14">
        <f t="shared" si="7"/>
        <v>34</v>
      </c>
      <c r="N22" s="39">
        <v>5</v>
      </c>
      <c r="O22" s="40">
        <v>4</v>
      </c>
      <c r="P22" s="40">
        <v>5</v>
      </c>
      <c r="Q22" s="40">
        <v>4</v>
      </c>
      <c r="R22" s="40">
        <v>4</v>
      </c>
      <c r="S22" s="40">
        <v>3</v>
      </c>
      <c r="T22" s="40">
        <v>2</v>
      </c>
      <c r="U22" s="40">
        <v>4</v>
      </c>
      <c r="V22" s="41">
        <v>4</v>
      </c>
      <c r="W22" s="14">
        <f t="shared" si="4"/>
        <v>35</v>
      </c>
      <c r="X22" s="15">
        <f t="shared" si="5"/>
        <v>35</v>
      </c>
      <c r="Y22" s="16">
        <f>M22+X22</f>
        <v>69</v>
      </c>
      <c r="Z22" s="17">
        <f>SUMPRODUCT(($D22:$L22-$D$3:$L$3&lt;=--Z$1)+($N22:$V22-$N$3:$V$3&lt;=--Z$1))</f>
        <v>2</v>
      </c>
      <c r="AA22" s="18">
        <f>SUMPRODUCT(($D22:$L22-$D$3:$L$3=--AA$1)+($N22:$V22-$N$3:$V$3=--AA$1))</f>
        <v>0</v>
      </c>
      <c r="AB22" s="18">
        <f>SUMPRODUCT(($D22:$L22-$D$3:$L$3=--AB$1)+($N22:$V22-$N$3:$V$3=--AB$1))</f>
        <v>13</v>
      </c>
      <c r="AC22" s="18">
        <f>SUMPRODUCT(($D22:$L22-$D$3:$L$3=--AC$1)+($N22:$V22-$N$3:$V$3=--AC$1))</f>
        <v>3</v>
      </c>
      <c r="AD22" s="19">
        <f>SUMPRODUCT(($D22:$L22-$D$3:$L$3&gt;=--AD$1)+($N22:$V22-$N$3:$V$3&gt;=--AD$1))</f>
        <v>0</v>
      </c>
      <c r="AE22" s="38">
        <f>SUMPRODUCT(Z22:AD22/{100,100000,100000000,100000000000,100000000000000})</f>
        <v>2.000013003E-2</v>
      </c>
      <c r="AF22" s="3"/>
      <c r="AG22" s="3"/>
      <c r="AH22" s="3"/>
      <c r="AI22" s="3"/>
      <c r="AJ22" s="3"/>
    </row>
    <row r="23" spans="1:36">
      <c r="A23" s="54"/>
      <c r="B23" s="49"/>
      <c r="C23" s="20" t="s">
        <v>24</v>
      </c>
      <c r="D23" s="42">
        <f>IF(D22=(D$3+3),0, IF(D22=(D$3+2),1, IF(D22=(D$3+1),2, IF(D22=D$3, 3, IF(D22=(D$3-1),5, IF(D22=(D$3-2),8, IF(D22=(D$3-3),12, 0)))))))</f>
        <v>3</v>
      </c>
      <c r="E23" s="42">
        <f>IF(E22=(E$3+3),0, IF(E22=(E$3+2),1, IF(E22=(E$3+1),2, IF(E22=E$3, 3, IF(E22=(E$3-1),5, IF(E22=(E$3-2),8, IF(E22=(E$3-3),12, 0)))))))</f>
        <v>3</v>
      </c>
      <c r="F23" s="42">
        <f t="shared" ref="F23:L23" si="23">IF(F22=(F$3+3),0, IF(F22=(F$3+2),1, IF(F22=(F$3+1),2, IF(F22=F$3, 3, IF(F22=(F$3-1),5, IF(F22=(F$3-2),8, IF(F22=(F$3-3),12, 0)))))))</f>
        <v>2</v>
      </c>
      <c r="G23" s="42">
        <f t="shared" si="23"/>
        <v>3</v>
      </c>
      <c r="H23" s="42">
        <f t="shared" si="23"/>
        <v>3</v>
      </c>
      <c r="I23" s="42">
        <f t="shared" si="23"/>
        <v>3</v>
      </c>
      <c r="J23" s="42">
        <f t="shared" si="23"/>
        <v>12</v>
      </c>
      <c r="K23" s="42">
        <f t="shared" si="23"/>
        <v>3</v>
      </c>
      <c r="L23" s="42">
        <f t="shared" si="23"/>
        <v>3</v>
      </c>
      <c r="M23" s="21">
        <f t="shared" si="7"/>
        <v>35</v>
      </c>
      <c r="N23" s="42">
        <f>IF(N22=(N$3+3),0, IF(N22=(N$3+2),1, IF(N22=(N$3+1),2, IF(N22=N$3, 3, IF(N22=(N$3-1),5, IF(N22=(N$3-2),8, IF(N22=(N$3-3),12, 0)))))))</f>
        <v>2</v>
      </c>
      <c r="O23" s="42">
        <f t="shared" ref="O23:V23" si="24">IF(O22=(O$3+3),0, IF(O22=(O$3+2),1, IF(O22=(O$3+1),2, IF(O22=O$3, 3, IF(O22=(O$3-1),5, IF(O22=(O$3-2),8, IF(O22=(O$3-3),12, 0)))))))</f>
        <v>3</v>
      </c>
      <c r="P23" s="42">
        <f t="shared" si="24"/>
        <v>3</v>
      </c>
      <c r="Q23" s="42">
        <f t="shared" si="24"/>
        <v>3</v>
      </c>
      <c r="R23" s="42">
        <f t="shared" si="24"/>
        <v>3</v>
      </c>
      <c r="S23" s="42">
        <f t="shared" si="24"/>
        <v>3</v>
      </c>
      <c r="T23" s="42">
        <f t="shared" si="24"/>
        <v>12</v>
      </c>
      <c r="U23" s="42">
        <f t="shared" si="24"/>
        <v>2</v>
      </c>
      <c r="V23" s="42">
        <f t="shared" si="24"/>
        <v>3</v>
      </c>
      <c r="W23" s="21">
        <f t="shared" si="4"/>
        <v>34</v>
      </c>
      <c r="X23" s="22">
        <f t="shared" si="5"/>
        <v>34</v>
      </c>
      <c r="Y23" s="23">
        <f>M23+X23</f>
        <v>69</v>
      </c>
      <c r="Z23" s="24"/>
      <c r="AA23" s="25"/>
      <c r="AB23" s="25"/>
      <c r="AC23" s="25"/>
      <c r="AD23" s="26"/>
      <c r="AE23" s="38"/>
      <c r="AF23" s="3"/>
      <c r="AG23" s="3"/>
      <c r="AH23" s="3"/>
      <c r="AI23" s="3"/>
      <c r="AJ23" s="3"/>
    </row>
    <row r="24" spans="1:36">
      <c r="A24" s="53" t="s">
        <v>47</v>
      </c>
      <c r="B24" s="48" t="s">
        <v>45</v>
      </c>
      <c r="C24" s="13" t="s">
        <v>23</v>
      </c>
      <c r="D24" s="39">
        <v>4</v>
      </c>
      <c r="E24" s="40">
        <v>3</v>
      </c>
      <c r="F24" s="40">
        <v>4</v>
      </c>
      <c r="G24" s="40">
        <v>4</v>
      </c>
      <c r="H24" s="40">
        <v>3</v>
      </c>
      <c r="I24" s="40">
        <v>4</v>
      </c>
      <c r="J24" s="40">
        <v>8</v>
      </c>
      <c r="K24" s="40">
        <v>6</v>
      </c>
      <c r="L24" s="41">
        <v>5</v>
      </c>
      <c r="M24" s="14">
        <f t="shared" si="7"/>
        <v>41</v>
      </c>
      <c r="N24" s="39">
        <v>4</v>
      </c>
      <c r="O24" s="40">
        <v>4</v>
      </c>
      <c r="P24" s="40">
        <v>2</v>
      </c>
      <c r="Q24" s="40">
        <v>4</v>
      </c>
      <c r="R24" s="40">
        <v>4</v>
      </c>
      <c r="S24" s="40">
        <v>2</v>
      </c>
      <c r="T24" s="40">
        <v>7</v>
      </c>
      <c r="U24" s="40">
        <v>3</v>
      </c>
      <c r="V24" s="41">
        <v>4</v>
      </c>
      <c r="W24" s="14">
        <f t="shared" si="4"/>
        <v>34</v>
      </c>
      <c r="X24" s="15">
        <f t="shared" si="5"/>
        <v>34</v>
      </c>
      <c r="Y24" s="16">
        <f>M24+X24</f>
        <v>75</v>
      </c>
      <c r="Z24" s="17">
        <f>SUMPRODUCT(($D24:$L24-$D$3:$L$3&lt;=--Z$1)+($N24:$V24-$N$3:$V$3&lt;=--Z$1))</f>
        <v>1</v>
      </c>
      <c r="AA24" s="18">
        <f>SUMPRODUCT(($D24:$L24-$D$3:$L$3=--AA$1)+($N24:$V24-$N$3:$V$3=--AA$1))</f>
        <v>2</v>
      </c>
      <c r="AB24" s="18">
        <f>SUMPRODUCT(($D24:$L24-$D$3:$L$3=--AB$1)+($N24:$V24-$N$3:$V$3=--AB$1))</f>
        <v>11</v>
      </c>
      <c r="AC24" s="18">
        <f>SUMPRODUCT(($D24:$L24-$D$3:$L$3=--AC$1)+($N24:$V24-$N$3:$V$3=--AC$1))</f>
        <v>1</v>
      </c>
      <c r="AD24" s="19">
        <f>SUMPRODUCT(($D24:$L24-$D$3:$L$3&gt;=--AD$1)+($N24:$V24-$N$3:$V$3&gt;=--AD$1))</f>
        <v>3</v>
      </c>
      <c r="AE24" s="38">
        <f>SUMPRODUCT(Z24:AD24/{100,100000,100000000,100000000000,100000000000000})</f>
        <v>1.002011001003E-2</v>
      </c>
      <c r="AF24" s="3"/>
      <c r="AG24" s="3"/>
      <c r="AH24" s="3"/>
      <c r="AI24" s="3"/>
      <c r="AJ24" s="3"/>
    </row>
    <row r="25" spans="1:36">
      <c r="A25" s="54"/>
      <c r="B25" s="49"/>
      <c r="C25" s="20" t="s">
        <v>24</v>
      </c>
      <c r="D25" s="42">
        <f>IF(D24=(D$3+3),0, IF(D24=(D$3+2),1, IF(D24=(D$3+1),2, IF(D24=D$3, 3, IF(D24=(D$3-1),5, IF(D24=(D$3-2),8, IF(D24=(D$3-3),12, 0)))))))</f>
        <v>3</v>
      </c>
      <c r="E25" s="42">
        <f>IF(E24=(E$3+3),0, IF(E24=(E$3+2),1, IF(E24=(E$3+1),2, IF(E24=E$3, 3, IF(E24=(E$3-1),5, IF(E24=(E$3-2),8, IF(E24=(E$3-3),12, 0)))))))</f>
        <v>5</v>
      </c>
      <c r="F25" s="42">
        <f t="shared" ref="F25:L25" si="25">IF(F24=(F$3+3),0, IF(F24=(F$3+2),1, IF(F24=(F$3+1),2, IF(F24=F$3, 3, IF(F24=(F$3-1),5, IF(F24=(F$3-2),8, IF(F24=(F$3-3),12, 0)))))))</f>
        <v>2</v>
      </c>
      <c r="G25" s="42">
        <f t="shared" si="25"/>
        <v>3</v>
      </c>
      <c r="H25" s="42">
        <f t="shared" si="25"/>
        <v>3</v>
      </c>
      <c r="I25" s="42">
        <f t="shared" si="25"/>
        <v>3</v>
      </c>
      <c r="J25" s="42">
        <f t="shared" si="25"/>
        <v>0</v>
      </c>
      <c r="K25" s="42">
        <f t="shared" si="25"/>
        <v>1</v>
      </c>
      <c r="L25" s="42">
        <f t="shared" si="25"/>
        <v>3</v>
      </c>
      <c r="M25" s="21">
        <f t="shared" si="7"/>
        <v>23</v>
      </c>
      <c r="N25" s="42">
        <f>IF(N24=(N$3+3),0, IF(N24=(N$3+2),1, IF(N24=(N$3+1),2, IF(N24=N$3, 3, IF(N24=(N$3-1),5, IF(N24=(N$3-2),8, IF(N24=(N$3-3),12, 0)))))))</f>
        <v>3</v>
      </c>
      <c r="O25" s="42">
        <f t="shared" ref="O25:V25" si="26">IF(O24=(O$3+3),0, IF(O24=(O$3+2),1, IF(O24=(O$3+1),2, IF(O24=O$3, 3, IF(O24=(O$3-1),5, IF(O24=(O$3-2),8, IF(O24=(O$3-3),12, 0)))))))</f>
        <v>3</v>
      </c>
      <c r="P25" s="42">
        <f t="shared" si="26"/>
        <v>12</v>
      </c>
      <c r="Q25" s="42">
        <f t="shared" si="26"/>
        <v>3</v>
      </c>
      <c r="R25" s="42">
        <f t="shared" si="26"/>
        <v>3</v>
      </c>
      <c r="S25" s="42">
        <f t="shared" si="26"/>
        <v>5</v>
      </c>
      <c r="T25" s="42">
        <f t="shared" si="26"/>
        <v>1</v>
      </c>
      <c r="U25" s="42">
        <f t="shared" si="26"/>
        <v>3</v>
      </c>
      <c r="V25" s="42">
        <f t="shared" si="26"/>
        <v>3</v>
      </c>
      <c r="W25" s="21">
        <f t="shared" si="4"/>
        <v>36</v>
      </c>
      <c r="X25" s="22">
        <f t="shared" si="5"/>
        <v>36</v>
      </c>
      <c r="Y25" s="23">
        <f>M25+X25</f>
        <v>59</v>
      </c>
      <c r="Z25" s="24"/>
      <c r="AA25" s="25"/>
      <c r="AB25" s="25"/>
      <c r="AC25" s="25"/>
      <c r="AD25" s="26"/>
      <c r="AE25" s="38"/>
      <c r="AF25" s="3"/>
      <c r="AG25" s="3"/>
      <c r="AH25" s="3"/>
      <c r="AI25" s="3"/>
      <c r="AJ25" s="3"/>
    </row>
    <row r="26" spans="1:36">
      <c r="A26" s="53" t="s">
        <v>47</v>
      </c>
      <c r="B26" s="58" t="s">
        <v>46</v>
      </c>
      <c r="C26" s="13" t="s">
        <v>23</v>
      </c>
      <c r="D26" s="39">
        <v>4</v>
      </c>
      <c r="E26" s="40">
        <v>4</v>
      </c>
      <c r="F26" s="40">
        <v>3</v>
      </c>
      <c r="G26" s="40">
        <v>3</v>
      </c>
      <c r="H26" s="40">
        <v>3</v>
      </c>
      <c r="I26" s="40">
        <v>4</v>
      </c>
      <c r="J26" s="40">
        <v>5</v>
      </c>
      <c r="K26" s="40">
        <v>5</v>
      </c>
      <c r="L26" s="41">
        <v>4</v>
      </c>
      <c r="M26" s="14">
        <f t="shared" si="7"/>
        <v>35</v>
      </c>
      <c r="N26" s="39">
        <v>4</v>
      </c>
      <c r="O26" s="40">
        <v>4</v>
      </c>
      <c r="P26" s="40">
        <v>2</v>
      </c>
      <c r="Q26" s="40">
        <v>2</v>
      </c>
      <c r="R26" s="40">
        <v>3</v>
      </c>
      <c r="S26" s="40">
        <v>3</v>
      </c>
      <c r="T26" s="40">
        <v>6</v>
      </c>
      <c r="U26" s="40">
        <v>3</v>
      </c>
      <c r="V26" s="41">
        <v>4</v>
      </c>
      <c r="W26" s="14">
        <f t="shared" si="4"/>
        <v>31</v>
      </c>
      <c r="X26" s="15">
        <f t="shared" si="5"/>
        <v>31</v>
      </c>
      <c r="Y26" s="16">
        <f>M26+X26</f>
        <v>66</v>
      </c>
      <c r="Z26" s="17">
        <f>SUMPRODUCT(($D26:$L26-$D$3:$L$3&lt;=--Z$1)+($N26:$V26-$N$3:$V$3&lt;=--Z$1))</f>
        <v>2</v>
      </c>
      <c r="AA26" s="18">
        <f>SUMPRODUCT(($D26:$L26-$D$3:$L$3=--AA$1)+($N26:$V26-$N$3:$V$3=--AA$1))</f>
        <v>3</v>
      </c>
      <c r="AB26" s="18">
        <f>SUMPRODUCT(($D26:$L26-$D$3:$L$3=--AB$1)+($N26:$V26-$N$3:$V$3=--AB$1))</f>
        <v>11</v>
      </c>
      <c r="AC26" s="18">
        <f>SUMPRODUCT(($D26:$L26-$D$3:$L$3=--AC$1)+($N26:$V26-$N$3:$V$3=--AC$1))</f>
        <v>2</v>
      </c>
      <c r="AD26" s="19">
        <f>SUMPRODUCT(($D26:$L26-$D$3:$L$3&gt;=--AD$1)+($N26:$V26-$N$3:$V$3&gt;=--AD$1))</f>
        <v>0</v>
      </c>
      <c r="AE26" s="38">
        <f>SUMPRODUCT(Z26:AD26/{100,100000,100000000,100000000000,100000000000000})</f>
        <v>2.0030110020000002E-2</v>
      </c>
      <c r="AF26" s="3"/>
      <c r="AG26" s="3"/>
      <c r="AH26" s="3"/>
      <c r="AI26" s="3"/>
      <c r="AJ26" s="3"/>
    </row>
    <row r="27" spans="1:36">
      <c r="A27" s="54"/>
      <c r="B27" s="59"/>
      <c r="C27" s="20" t="s">
        <v>24</v>
      </c>
      <c r="D27" s="42">
        <f>IF(D26=(D$3+3),0, IF(D26=(D$3+2),1, IF(D26=(D$3+1),2, IF(D26=D$3, 3, IF(D26=(D$3-1),5, IF(D26=(D$3-2),8, IF(D26=(D$3-3),12, 0)))))))</f>
        <v>3</v>
      </c>
      <c r="E27" s="42">
        <f>IF(E26=(E$3+3),0, IF(E26=(E$3+2),1, IF(E26=(E$3+1),2, IF(E26=E$3, 3, IF(E26=(E$3-1),5, IF(E26=(E$3-2),8, IF(E26=(E$3-3),12, 0)))))))</f>
        <v>3</v>
      </c>
      <c r="F27" s="42">
        <f t="shared" ref="F27:L27" si="27">IF(F26=(F$3+3),0, IF(F26=(F$3+2),1, IF(F26=(F$3+1),2, IF(F26=F$3, 3, IF(F26=(F$3-1),5, IF(F26=(F$3-2),8, IF(F26=(F$3-3),12, 0)))))))</f>
        <v>3</v>
      </c>
      <c r="G27" s="42">
        <f t="shared" si="27"/>
        <v>5</v>
      </c>
      <c r="H27" s="42">
        <f t="shared" si="27"/>
        <v>3</v>
      </c>
      <c r="I27" s="42">
        <f t="shared" si="27"/>
        <v>3</v>
      </c>
      <c r="J27" s="42">
        <f t="shared" si="27"/>
        <v>3</v>
      </c>
      <c r="K27" s="42">
        <f t="shared" si="27"/>
        <v>2</v>
      </c>
      <c r="L27" s="42">
        <f t="shared" si="27"/>
        <v>5</v>
      </c>
      <c r="M27" s="21">
        <f t="shared" si="7"/>
        <v>30</v>
      </c>
      <c r="N27" s="42">
        <f>IF(N26=(N$3+3),0, IF(N26=(N$3+2),1, IF(N26=(N$3+1),2, IF(N26=N$3, 3, IF(N26=(N$3-1),5, IF(N26=(N$3-2),8, IF(N26=(N$3-3),12, 0)))))))</f>
        <v>3</v>
      </c>
      <c r="O27" s="42">
        <f t="shared" ref="O27:V27" si="28">IF(O26=(O$3+3),0, IF(O26=(O$3+2),1, IF(O26=(O$3+1),2, IF(O26=O$3, 3, IF(O26=(O$3-1),5, IF(O26=(O$3-2),8, IF(O26=(O$3-3),12, 0)))))))</f>
        <v>3</v>
      </c>
      <c r="P27" s="42">
        <f t="shared" si="28"/>
        <v>12</v>
      </c>
      <c r="Q27" s="42">
        <f t="shared" si="28"/>
        <v>8</v>
      </c>
      <c r="R27" s="42">
        <f t="shared" si="28"/>
        <v>5</v>
      </c>
      <c r="S27" s="42">
        <f t="shared" si="28"/>
        <v>3</v>
      </c>
      <c r="T27" s="42">
        <f t="shared" si="28"/>
        <v>2</v>
      </c>
      <c r="U27" s="42">
        <f t="shared" si="28"/>
        <v>3</v>
      </c>
      <c r="V27" s="42">
        <f t="shared" si="28"/>
        <v>3</v>
      </c>
      <c r="W27" s="21">
        <f t="shared" si="4"/>
        <v>42</v>
      </c>
      <c r="X27" s="22">
        <f t="shared" si="5"/>
        <v>42</v>
      </c>
      <c r="Y27" s="23">
        <f>M27+X27</f>
        <v>72</v>
      </c>
      <c r="Z27" s="24"/>
      <c r="AA27" s="25"/>
      <c r="AB27" s="25"/>
      <c r="AC27" s="25"/>
      <c r="AD27" s="26"/>
      <c r="AE27" s="38"/>
      <c r="AF27" s="3"/>
      <c r="AG27" s="3"/>
      <c r="AH27" s="3"/>
      <c r="AI27" s="3"/>
      <c r="AJ27" s="3"/>
    </row>
    <row r="28" spans="1:36">
      <c r="A28" s="53" t="s">
        <v>47</v>
      </c>
      <c r="B28" s="60" t="s">
        <v>62</v>
      </c>
      <c r="C28" s="13" t="s">
        <v>23</v>
      </c>
      <c r="D28" s="39">
        <v>6</v>
      </c>
      <c r="E28" s="40">
        <v>4</v>
      </c>
      <c r="F28" s="40">
        <v>4</v>
      </c>
      <c r="G28" s="40">
        <v>1</v>
      </c>
      <c r="H28" s="40">
        <v>3</v>
      </c>
      <c r="I28" s="40">
        <v>6</v>
      </c>
      <c r="J28" s="40">
        <v>6</v>
      </c>
      <c r="K28" s="40">
        <v>4</v>
      </c>
      <c r="L28" s="41">
        <v>6</v>
      </c>
      <c r="M28" s="14">
        <f t="shared" si="7"/>
        <v>40</v>
      </c>
      <c r="N28" s="39">
        <v>4</v>
      </c>
      <c r="O28" s="40">
        <v>4</v>
      </c>
      <c r="P28" s="40">
        <v>4</v>
      </c>
      <c r="Q28" s="40">
        <v>4</v>
      </c>
      <c r="R28" s="40">
        <v>3</v>
      </c>
      <c r="S28" s="40">
        <v>4</v>
      </c>
      <c r="T28" s="40">
        <v>4</v>
      </c>
      <c r="U28" s="40">
        <v>2</v>
      </c>
      <c r="V28" s="41">
        <v>4</v>
      </c>
      <c r="W28" s="14">
        <f t="shared" si="4"/>
        <v>33</v>
      </c>
      <c r="X28" s="15">
        <f t="shared" si="5"/>
        <v>33</v>
      </c>
      <c r="Y28" s="16">
        <f>M28+X28</f>
        <v>73</v>
      </c>
      <c r="Z28" s="17">
        <f>SUMPRODUCT(($D28:$L28-$D$3:$L$3&lt;=--Z$1)+($N28:$V28-$N$3:$V$3&lt;=--Z$1))</f>
        <v>1</v>
      </c>
      <c r="AA28" s="18">
        <f>SUMPRODUCT(($D28:$L28-$D$3:$L$3=--AA$1)+($N28:$V28-$N$3:$V$3=--AA$1))</f>
        <v>4</v>
      </c>
      <c r="AB28" s="18">
        <f>SUMPRODUCT(($D28:$L28-$D$3:$L$3=--AB$1)+($N28:$V28-$N$3:$V$3=--AB$1))</f>
        <v>7</v>
      </c>
      <c r="AC28" s="18">
        <f>SUMPRODUCT(($D28:$L28-$D$3:$L$3=--AC$1)+($N28:$V28-$N$3:$V$3=--AC$1))</f>
        <v>4</v>
      </c>
      <c r="AD28" s="19">
        <f>SUMPRODUCT(($D28:$L28-$D$3:$L$3&gt;=--AD$1)+($N28:$V28-$N$3:$V$3&gt;=--AD$1))</f>
        <v>2</v>
      </c>
      <c r="AE28" s="38">
        <f>SUMPRODUCT(Z28:AD28/{100,100000,100000000,100000000000,100000000000000})</f>
        <v>1.0040070040019999E-2</v>
      </c>
      <c r="AF28" s="3"/>
      <c r="AG28" s="3"/>
      <c r="AH28" s="3"/>
      <c r="AI28" s="3"/>
      <c r="AJ28" s="3"/>
    </row>
    <row r="29" spans="1:36">
      <c r="A29" s="54"/>
      <c r="B29" s="61"/>
      <c r="C29" s="20" t="s">
        <v>24</v>
      </c>
      <c r="D29" s="42">
        <f>IF(D28=(D$3+3),0, IF(D28=(D$3+2),1, IF(D28=(D$3+1),2, IF(D28=D$3, 3, IF(D28=(D$3-1),5, IF(D28=(D$3-2),8, IF(D28=(D$3-3),12, 0)))))))</f>
        <v>1</v>
      </c>
      <c r="E29" s="42">
        <f>IF(E28=(E$3+3),0, IF(E28=(E$3+2),1, IF(E28=(E$3+1),2, IF(E28=E$3, 3, IF(E28=(E$3-1),5, IF(E28=(E$3-2),8, IF(E28=(E$3-3),12, 0)))))))</f>
        <v>3</v>
      </c>
      <c r="F29" s="42">
        <f t="shared" ref="F29:L29" si="29">IF(F28=(F$3+3),0, IF(F28=(F$3+2),1, IF(F28=(F$3+1),2, IF(F28=F$3, 3, IF(F28=(F$3-1),5, IF(F28=(F$3-2),8, IF(F28=(F$3-3),12, 0)))))))</f>
        <v>2</v>
      </c>
      <c r="G29" s="42">
        <f t="shared" si="29"/>
        <v>12</v>
      </c>
      <c r="H29" s="42">
        <f t="shared" si="29"/>
        <v>3</v>
      </c>
      <c r="I29" s="42">
        <f t="shared" si="29"/>
        <v>1</v>
      </c>
      <c r="J29" s="42">
        <f t="shared" si="29"/>
        <v>2</v>
      </c>
      <c r="K29" s="42">
        <f t="shared" si="29"/>
        <v>3</v>
      </c>
      <c r="L29" s="42">
        <f t="shared" si="29"/>
        <v>2</v>
      </c>
      <c r="M29" s="21">
        <f t="shared" si="7"/>
        <v>29</v>
      </c>
      <c r="N29" s="42">
        <f>IF(N28=(N$3+3),0, IF(N28=(N$3+2),1, IF(N28=(N$3+1),2, IF(N28=N$3, 3, IF(N28=(N$3-1),5, IF(N28=(N$3-2),8, IF(N28=(N$3-3),12, 0)))))))</f>
        <v>3</v>
      </c>
      <c r="O29" s="42">
        <f t="shared" ref="O29:V29" si="30">IF(O28=(O$3+3),0, IF(O28=(O$3+2),1, IF(O28=(O$3+1),2, IF(O28=O$3, 3, IF(O28=(O$3-1),5, IF(O28=(O$3-2),8, IF(O28=(O$3-3),12, 0)))))))</f>
        <v>3</v>
      </c>
      <c r="P29" s="42">
        <f t="shared" si="30"/>
        <v>5</v>
      </c>
      <c r="Q29" s="42">
        <f t="shared" si="30"/>
        <v>3</v>
      </c>
      <c r="R29" s="42">
        <f t="shared" si="30"/>
        <v>5</v>
      </c>
      <c r="S29" s="42">
        <f t="shared" si="30"/>
        <v>2</v>
      </c>
      <c r="T29" s="42">
        <f t="shared" si="30"/>
        <v>5</v>
      </c>
      <c r="U29" s="42">
        <f t="shared" si="30"/>
        <v>5</v>
      </c>
      <c r="V29" s="42">
        <f t="shared" si="30"/>
        <v>3</v>
      </c>
      <c r="W29" s="21">
        <f t="shared" si="4"/>
        <v>34</v>
      </c>
      <c r="X29" s="22">
        <f t="shared" si="5"/>
        <v>34</v>
      </c>
      <c r="Y29" s="23">
        <f>M29+X29</f>
        <v>63</v>
      </c>
      <c r="Z29" s="24"/>
      <c r="AA29" s="25"/>
      <c r="AB29" s="25"/>
      <c r="AC29" s="25"/>
      <c r="AD29" s="26"/>
      <c r="AE29" s="38"/>
      <c r="AF29" s="3"/>
      <c r="AG29" s="3"/>
      <c r="AH29" s="3"/>
      <c r="AI29" s="3"/>
      <c r="AJ29" s="3"/>
    </row>
    <row r="30" spans="1:36">
      <c r="A30" s="53" t="s">
        <v>48</v>
      </c>
      <c r="B30" s="62" t="s">
        <v>50</v>
      </c>
      <c r="C30" s="13" t="s">
        <v>23</v>
      </c>
      <c r="D30" s="39">
        <v>3</v>
      </c>
      <c r="E30" s="40">
        <v>4</v>
      </c>
      <c r="F30" s="40">
        <v>3</v>
      </c>
      <c r="G30" s="40">
        <v>4</v>
      </c>
      <c r="H30" s="40">
        <v>4</v>
      </c>
      <c r="I30" s="40">
        <v>4</v>
      </c>
      <c r="J30" s="40">
        <v>5</v>
      </c>
      <c r="K30" s="40">
        <v>4</v>
      </c>
      <c r="L30" s="41">
        <v>3</v>
      </c>
      <c r="M30" s="14">
        <f t="shared" si="7"/>
        <v>34</v>
      </c>
      <c r="N30" s="39">
        <v>4</v>
      </c>
      <c r="O30" s="40">
        <v>2</v>
      </c>
      <c r="P30" s="40">
        <v>7</v>
      </c>
      <c r="Q30" s="40">
        <v>5</v>
      </c>
      <c r="R30" s="40">
        <v>5</v>
      </c>
      <c r="S30" s="40">
        <v>4</v>
      </c>
      <c r="T30" s="40">
        <v>5</v>
      </c>
      <c r="U30" s="40">
        <v>3</v>
      </c>
      <c r="V30" s="41">
        <v>5</v>
      </c>
      <c r="W30" s="14">
        <f t="shared" si="4"/>
        <v>40</v>
      </c>
      <c r="X30" s="15">
        <f t="shared" si="5"/>
        <v>40</v>
      </c>
      <c r="Y30" s="16">
        <f>M30+X30</f>
        <v>74</v>
      </c>
      <c r="Z30" s="17">
        <f>SUMPRODUCT(($D30:$L30-$D$3:$L$3&lt;=--Z$1)+($N30:$V30-$N$3:$V$3&lt;=--Z$1))</f>
        <v>2</v>
      </c>
      <c r="AA30" s="18">
        <f>SUMPRODUCT(($D30:$L30-$D$3:$L$3=--AA$1)+($N30:$V30-$N$3:$V$3=--AA$1))</f>
        <v>1</v>
      </c>
      <c r="AB30" s="18">
        <f>SUMPRODUCT(($D30:$L30-$D$3:$L$3=--AB$1)+($N30:$V30-$N$3:$V$3=--AB$1))</f>
        <v>9</v>
      </c>
      <c r="AC30" s="18">
        <f>SUMPRODUCT(($D30:$L30-$D$3:$L$3=--AC$1)+($N30:$V30-$N$3:$V$3=--AC$1))</f>
        <v>5</v>
      </c>
      <c r="AD30" s="19">
        <f>SUMPRODUCT(($D30:$L30-$D$3:$L$3&gt;=--AD$1)+($N30:$V30-$N$3:$V$3&gt;=--AD$1))</f>
        <v>1</v>
      </c>
      <c r="AE30" s="38">
        <f>SUMPRODUCT(Z30:AD30/{100,100000,100000000,100000000000,100000000000000})</f>
        <v>2.0010090050010001E-2</v>
      </c>
      <c r="AF30" s="3"/>
      <c r="AG30" s="3"/>
      <c r="AH30" s="3"/>
      <c r="AI30" s="3"/>
      <c r="AJ30" s="3"/>
    </row>
    <row r="31" spans="1:36">
      <c r="A31" s="54"/>
      <c r="B31" s="63"/>
      <c r="C31" s="20" t="s">
        <v>24</v>
      </c>
      <c r="D31" s="42">
        <f>IF(D30=(D$3+3),0, IF(D30=(D$3+2),1, IF(D30=(D$3+1),2, IF(D30=D$3, 3, IF(D30=(D$3-1),5, IF(D30=(D$3-2),8, IF(D30=(D$3-3),12, 0)))))))</f>
        <v>5</v>
      </c>
      <c r="E31" s="42">
        <f>IF(E30=(E$3+3),0, IF(E30=(E$3+2),1, IF(E30=(E$3+1),2, IF(E30=E$3, 3, IF(E30=(E$3-1),5, IF(E30=(E$3-2),8, IF(E30=(E$3-3),12, 0)))))))</f>
        <v>3</v>
      </c>
      <c r="F31" s="42">
        <f t="shared" ref="F31:L31" si="31">IF(F30=(F$3+3),0, IF(F30=(F$3+2),1, IF(F30=(F$3+1),2, IF(F30=F$3, 3, IF(F30=(F$3-1),5, IF(F30=(F$3-2),8, IF(F30=(F$3-3),12, 0)))))))</f>
        <v>3</v>
      </c>
      <c r="G31" s="42">
        <f t="shared" si="31"/>
        <v>3</v>
      </c>
      <c r="H31" s="42">
        <f t="shared" si="31"/>
        <v>2</v>
      </c>
      <c r="I31" s="42">
        <f t="shared" si="31"/>
        <v>3</v>
      </c>
      <c r="J31" s="42">
        <f t="shared" si="31"/>
        <v>3</v>
      </c>
      <c r="K31" s="42">
        <f t="shared" si="31"/>
        <v>3</v>
      </c>
      <c r="L31" s="42">
        <f t="shared" si="31"/>
        <v>8</v>
      </c>
      <c r="M31" s="21">
        <f t="shared" si="7"/>
        <v>33</v>
      </c>
      <c r="N31" s="42">
        <f>IF(N30=(N$3+3),0, IF(N30=(N$3+2),1, IF(N30=(N$3+1),2, IF(N30=N$3, 3, IF(N30=(N$3-1),5, IF(N30=(N$3-2),8, IF(N30=(N$3-3),12, 0)))))))</f>
        <v>3</v>
      </c>
      <c r="O31" s="43">
        <f t="shared" ref="O31:V31" si="32">IF(O30,2-MIN(2,O30-O$3),"")</f>
        <v>4</v>
      </c>
      <c r="P31" s="43">
        <f t="shared" si="32"/>
        <v>0</v>
      </c>
      <c r="Q31" s="43">
        <f t="shared" si="32"/>
        <v>1</v>
      </c>
      <c r="R31" s="43">
        <f t="shared" si="32"/>
        <v>1</v>
      </c>
      <c r="S31" s="43">
        <f t="shared" si="32"/>
        <v>1</v>
      </c>
      <c r="T31" s="43">
        <f t="shared" si="32"/>
        <v>2</v>
      </c>
      <c r="U31" s="43">
        <f t="shared" si="32"/>
        <v>2</v>
      </c>
      <c r="V31" s="44">
        <f t="shared" si="32"/>
        <v>1</v>
      </c>
      <c r="W31" s="21">
        <f t="shared" si="4"/>
        <v>15</v>
      </c>
      <c r="X31" s="22">
        <f t="shared" si="5"/>
        <v>15</v>
      </c>
      <c r="Y31" s="23">
        <f>M31+X31</f>
        <v>48</v>
      </c>
      <c r="Z31" s="24"/>
      <c r="AA31" s="25"/>
      <c r="AB31" s="25"/>
      <c r="AC31" s="25"/>
      <c r="AD31" s="26"/>
      <c r="AE31" s="38"/>
      <c r="AF31" s="3"/>
      <c r="AG31" s="3"/>
      <c r="AH31" s="3"/>
      <c r="AI31" s="3"/>
      <c r="AJ31" s="3"/>
    </row>
    <row r="32" spans="1:36">
      <c r="A32" s="53" t="s">
        <v>48</v>
      </c>
      <c r="B32" s="64" t="s">
        <v>51</v>
      </c>
      <c r="C32" s="13" t="s">
        <v>23</v>
      </c>
      <c r="D32" s="39">
        <v>3</v>
      </c>
      <c r="E32" s="40">
        <v>2</v>
      </c>
      <c r="F32" s="40">
        <v>3</v>
      </c>
      <c r="G32" s="40">
        <v>4</v>
      </c>
      <c r="H32" s="40">
        <v>4</v>
      </c>
      <c r="I32" s="40">
        <v>4</v>
      </c>
      <c r="J32" s="40">
        <v>5</v>
      </c>
      <c r="K32" s="40">
        <v>4</v>
      </c>
      <c r="L32" s="41">
        <v>3</v>
      </c>
      <c r="M32" s="14">
        <f t="shared" ref="M32:M37" si="33">IF($C32="","",SUM(D32:L32))</f>
        <v>32</v>
      </c>
      <c r="N32" s="39">
        <v>4</v>
      </c>
      <c r="O32" s="40">
        <v>2</v>
      </c>
      <c r="P32" s="40">
        <v>7</v>
      </c>
      <c r="Q32" s="40">
        <v>5</v>
      </c>
      <c r="R32" s="40">
        <v>5</v>
      </c>
      <c r="S32" s="40">
        <v>4</v>
      </c>
      <c r="T32" s="40">
        <v>5</v>
      </c>
      <c r="U32" s="40">
        <v>3</v>
      </c>
      <c r="V32" s="41">
        <v>5</v>
      </c>
      <c r="W32" s="14">
        <f t="shared" si="4"/>
        <v>40</v>
      </c>
      <c r="X32" s="15">
        <f t="shared" ref="X32:X37" si="34">IF($C32="","",SUM(N32:V32))</f>
        <v>40</v>
      </c>
      <c r="Y32" s="16">
        <f>M32+X32</f>
        <v>72</v>
      </c>
      <c r="Z32" s="17">
        <f>SUMPRODUCT(($D32:$L32-$D$3:$L$3&lt;=--Z$1)+($N32:$V32-$N$3:$V$3&lt;=--Z$1))</f>
        <v>3</v>
      </c>
      <c r="AA32" s="18">
        <f>SUMPRODUCT(($D32:$L32-$D$3:$L$3=--AA$1)+($N32:$V32-$N$3:$V$3=--AA$1))</f>
        <v>1</v>
      </c>
      <c r="AB32" s="18">
        <f>SUMPRODUCT(($D32:$L32-$D$3:$L$3=--AB$1)+($N32:$V32-$N$3:$V$3=--AB$1))</f>
        <v>8</v>
      </c>
      <c r="AC32" s="18">
        <f>SUMPRODUCT(($D32:$L32-$D$3:$L$3=--AC$1)+($N32:$V32-$N$3:$V$3=--AC$1))</f>
        <v>5</v>
      </c>
      <c r="AD32" s="19">
        <f>SUMPRODUCT(($D32:$L32-$D$3:$L$3&gt;=--AD$1)+($N32:$V32-$N$3:$V$3&gt;=--AD$1))</f>
        <v>1</v>
      </c>
      <c r="AE32" s="38">
        <f>SUMPRODUCT(Z32:AD32/{100,100000,100000000,100000000000,100000000000000})</f>
        <v>3.0010080050009998E-2</v>
      </c>
      <c r="AF32" s="3"/>
      <c r="AG32" s="3"/>
      <c r="AH32" s="3"/>
      <c r="AI32" s="3"/>
      <c r="AJ32" s="3"/>
    </row>
    <row r="33" spans="1:36">
      <c r="A33" s="54"/>
      <c r="B33" s="63"/>
      <c r="C33" s="20" t="s">
        <v>24</v>
      </c>
      <c r="D33" s="42">
        <f>IF(D32=(D$3+3),0, IF(D32=(D$3+2),1, IF(D32=(D$3+1),2, IF(D32=D$3, 3, IF(D32=(D$3-1),5, IF(D32=(D$3-2),8, IF(D32=(D$3-3),12, 0)))))))</f>
        <v>5</v>
      </c>
      <c r="E33" s="42">
        <f>IF(E32=(E$3+3),0, IF(E32=(E$3+2),1, IF(E32=(E$3+1),2, IF(E32=E$3, 3, IF(E32=(E$3-1),5, IF(E32=(E$3-2),8, IF(E32=(E$3-3),12, 0)))))))</f>
        <v>8</v>
      </c>
      <c r="F33" s="42">
        <f t="shared" ref="F33:L33" si="35">IF(F32=(F$3+3),0, IF(F32=(F$3+2),1, IF(F32=(F$3+1),2, IF(F32=F$3, 3, IF(F32=(F$3-1),5, IF(F32=(F$3-2),8, IF(F32=(F$3-3),12, 0)))))))</f>
        <v>3</v>
      </c>
      <c r="G33" s="42">
        <f t="shared" si="35"/>
        <v>3</v>
      </c>
      <c r="H33" s="42">
        <f t="shared" si="35"/>
        <v>2</v>
      </c>
      <c r="I33" s="42">
        <f t="shared" si="35"/>
        <v>3</v>
      </c>
      <c r="J33" s="42">
        <f t="shared" si="35"/>
        <v>3</v>
      </c>
      <c r="K33" s="42">
        <f t="shared" si="35"/>
        <v>3</v>
      </c>
      <c r="L33" s="42">
        <f t="shared" si="35"/>
        <v>8</v>
      </c>
      <c r="M33" s="21">
        <f t="shared" si="33"/>
        <v>38</v>
      </c>
      <c r="N33" s="42">
        <f>IF(N32=(N$3+3),0, IF(N32=(N$3+2),1, IF(N32=(N$3+1),2, IF(N32=N$3, 3, IF(N32=(N$3-1),5, IF(N32=(N$3-2),8, IF(N32=(N$3-3),12, 0)))))))</f>
        <v>3</v>
      </c>
      <c r="O33" s="42">
        <f t="shared" ref="O33:V33" si="36">IF(O32=(O$3+3),0, IF(O32=(O$3+2),1, IF(O32=(O$3+1),2, IF(O32=O$3, 3, IF(O32=(O$3-1),5, IF(O32=(O$3-2),8, IF(O32=(O$3-3),12, 0)))))))</f>
        <v>8</v>
      </c>
      <c r="P33" s="42">
        <f t="shared" si="36"/>
        <v>1</v>
      </c>
      <c r="Q33" s="42">
        <f t="shared" si="36"/>
        <v>2</v>
      </c>
      <c r="R33" s="42">
        <f t="shared" si="36"/>
        <v>2</v>
      </c>
      <c r="S33" s="42">
        <f t="shared" si="36"/>
        <v>2</v>
      </c>
      <c r="T33" s="42">
        <f t="shared" si="36"/>
        <v>3</v>
      </c>
      <c r="U33" s="42">
        <f t="shared" si="36"/>
        <v>3</v>
      </c>
      <c r="V33" s="42">
        <f t="shared" si="36"/>
        <v>2</v>
      </c>
      <c r="W33" s="21">
        <f t="shared" si="4"/>
        <v>26</v>
      </c>
      <c r="X33" s="22">
        <f t="shared" si="34"/>
        <v>26</v>
      </c>
      <c r="Y33" s="23">
        <f>M33+X33</f>
        <v>64</v>
      </c>
      <c r="Z33" s="24"/>
      <c r="AA33" s="25"/>
      <c r="AB33" s="25"/>
      <c r="AC33" s="25"/>
      <c r="AD33" s="26"/>
      <c r="AE33" s="38"/>
      <c r="AF33" s="3"/>
      <c r="AG33" s="3"/>
      <c r="AH33" s="3"/>
      <c r="AI33" s="3"/>
      <c r="AJ33" s="3"/>
    </row>
    <row r="34" spans="1:36">
      <c r="A34" s="53" t="s">
        <v>48</v>
      </c>
      <c r="B34" s="64" t="s">
        <v>52</v>
      </c>
      <c r="C34" s="13" t="s">
        <v>23</v>
      </c>
      <c r="D34" s="39">
        <v>3</v>
      </c>
      <c r="E34" s="40">
        <v>4</v>
      </c>
      <c r="F34" s="40">
        <v>3</v>
      </c>
      <c r="G34" s="40">
        <v>4</v>
      </c>
      <c r="H34" s="40">
        <v>4</v>
      </c>
      <c r="I34" s="40">
        <v>4</v>
      </c>
      <c r="J34" s="40">
        <v>5</v>
      </c>
      <c r="K34" s="40">
        <v>4</v>
      </c>
      <c r="L34" s="41">
        <v>3</v>
      </c>
      <c r="M34" s="14">
        <f t="shared" si="33"/>
        <v>34</v>
      </c>
      <c r="N34" s="39">
        <v>4</v>
      </c>
      <c r="O34" s="40">
        <v>2</v>
      </c>
      <c r="P34" s="40">
        <v>7</v>
      </c>
      <c r="Q34" s="40">
        <v>5</v>
      </c>
      <c r="R34" s="40">
        <v>5</v>
      </c>
      <c r="S34" s="40">
        <v>4</v>
      </c>
      <c r="T34" s="40">
        <v>5</v>
      </c>
      <c r="U34" s="40">
        <v>3</v>
      </c>
      <c r="V34" s="41">
        <v>5</v>
      </c>
      <c r="W34" s="14">
        <f t="shared" si="4"/>
        <v>40</v>
      </c>
      <c r="X34" s="15">
        <f t="shared" si="34"/>
        <v>40</v>
      </c>
      <c r="Y34" s="16">
        <f>M34+X34</f>
        <v>74</v>
      </c>
      <c r="Z34" s="17">
        <f>SUMPRODUCT(($D34:$L34-$D$3:$L$3&lt;=--Z$1)+($N34:$V34-$N$3:$V$3&lt;=--Z$1))</f>
        <v>2</v>
      </c>
      <c r="AA34" s="18">
        <f>SUMPRODUCT(($D34:$L34-$D$3:$L$3=--AA$1)+($N34:$V34-$N$3:$V$3=--AA$1))</f>
        <v>1</v>
      </c>
      <c r="AB34" s="18">
        <f>SUMPRODUCT(($D34:$L34-$D$3:$L$3=--AB$1)+($N34:$V34-$N$3:$V$3=--AB$1))</f>
        <v>9</v>
      </c>
      <c r="AC34" s="18">
        <f>SUMPRODUCT(($D34:$L34-$D$3:$L$3=--AC$1)+($N34:$V34-$N$3:$V$3=--AC$1))</f>
        <v>5</v>
      </c>
      <c r="AD34" s="19">
        <f>SUMPRODUCT(($D34:$L34-$D$3:$L$3&gt;=--AD$1)+($N34:$V34-$N$3:$V$3&gt;=--AD$1))</f>
        <v>1</v>
      </c>
      <c r="AE34" s="38">
        <f>SUMPRODUCT(Z34:AD34/{100,100000,100000000,100000000000,100000000000000})</f>
        <v>2.0010090050010001E-2</v>
      </c>
      <c r="AF34" s="3"/>
      <c r="AG34" s="3"/>
      <c r="AH34" s="3"/>
      <c r="AI34" s="3"/>
      <c r="AJ34" s="3"/>
    </row>
    <row r="35" spans="1:36">
      <c r="A35" s="54"/>
      <c r="B35" s="63"/>
      <c r="C35" s="20" t="s">
        <v>24</v>
      </c>
      <c r="D35" s="43">
        <f>IF(D34=(D$3+3),0, IF(D34=(D$3+2),1, IF(D34=(D$3+1),2, IF(D34=D$3, 3, IF(D34=(D$3-1),5, IF(D34=(D$3-2),8, IF(D34=(D$3-3),12, 0)))))))</f>
        <v>5</v>
      </c>
      <c r="E35" s="43">
        <f>IF(E34=(E$3+3),0, IF(E34=(E$3+2),1, IF(E34=(E$3+1),2, IF(E34=E$3, 3, IF(E34=(E$3-1),5, IF(E34=(E$3-2),8, IF(E34=(E$3-3),12, 0)))))))</f>
        <v>3</v>
      </c>
      <c r="F35" s="43">
        <f t="shared" ref="F35:L35" si="37">IF(F34=(F$3+3),0, IF(F34=(F$3+2),1, IF(F34=(F$3+1),2, IF(F34=F$3, 3, IF(F34=(F$3-1),5, IF(F34=(F$3-2),8, IF(F34=(F$3-3),12, 0)))))))</f>
        <v>3</v>
      </c>
      <c r="G35" s="43">
        <f t="shared" si="37"/>
        <v>3</v>
      </c>
      <c r="H35" s="43">
        <f t="shared" si="37"/>
        <v>2</v>
      </c>
      <c r="I35" s="43">
        <f t="shared" si="37"/>
        <v>3</v>
      </c>
      <c r="J35" s="43">
        <f t="shared" si="37"/>
        <v>3</v>
      </c>
      <c r="K35" s="43">
        <f t="shared" si="37"/>
        <v>3</v>
      </c>
      <c r="L35" s="43">
        <f t="shared" si="37"/>
        <v>8</v>
      </c>
      <c r="M35" s="21">
        <f t="shared" si="33"/>
        <v>33</v>
      </c>
      <c r="N35" s="42">
        <f>IF(N34=(N$3+3),0, IF(N34=(N$3+2),1, IF(N34=(N$3+1),2, IF(N34=N$3, 3, IF(N34=(N$3-1),5, IF(N34=(N$3-2),8, IF(N34=(N$3-3),12, 0)))))))</f>
        <v>3</v>
      </c>
      <c r="O35" s="42">
        <f t="shared" ref="O35:V35" si="38">IF(O34=(O$3+3),0, IF(O34=(O$3+2),1, IF(O34=(O$3+1),2, IF(O34=O$3, 3, IF(O34=(O$3-1),5, IF(O34=(O$3-2),8, IF(O34=(O$3-3),12, 0)))))))</f>
        <v>8</v>
      </c>
      <c r="P35" s="42">
        <f t="shared" si="38"/>
        <v>1</v>
      </c>
      <c r="Q35" s="42">
        <f t="shared" si="38"/>
        <v>2</v>
      </c>
      <c r="R35" s="42">
        <f t="shared" si="38"/>
        <v>2</v>
      </c>
      <c r="S35" s="42">
        <f t="shared" si="38"/>
        <v>2</v>
      </c>
      <c r="T35" s="42">
        <f t="shared" si="38"/>
        <v>3</v>
      </c>
      <c r="U35" s="42">
        <f t="shared" si="38"/>
        <v>3</v>
      </c>
      <c r="V35" s="42">
        <f t="shared" si="38"/>
        <v>2</v>
      </c>
      <c r="W35" s="21">
        <f t="shared" si="4"/>
        <v>26</v>
      </c>
      <c r="X35" s="22">
        <f t="shared" si="34"/>
        <v>26</v>
      </c>
      <c r="Y35" s="23">
        <f>M35+X35</f>
        <v>59</v>
      </c>
      <c r="Z35" s="24"/>
      <c r="AA35" s="25"/>
      <c r="AB35" s="25"/>
      <c r="AC35" s="25"/>
      <c r="AD35" s="26"/>
      <c r="AE35" s="38"/>
      <c r="AF35" s="3"/>
      <c r="AG35" s="3"/>
      <c r="AH35" s="3"/>
      <c r="AI35" s="3"/>
      <c r="AJ35" s="3"/>
    </row>
    <row r="36" spans="1:36">
      <c r="A36" s="53" t="s">
        <v>48</v>
      </c>
      <c r="B36" s="64" t="s">
        <v>53</v>
      </c>
      <c r="C36" s="13" t="s">
        <v>23</v>
      </c>
      <c r="D36" s="39">
        <v>3</v>
      </c>
      <c r="E36" s="40">
        <v>4</v>
      </c>
      <c r="F36" s="40">
        <v>3</v>
      </c>
      <c r="G36" s="40">
        <v>4</v>
      </c>
      <c r="H36" s="40">
        <v>4</v>
      </c>
      <c r="I36" s="40">
        <v>4</v>
      </c>
      <c r="J36" s="40">
        <v>5</v>
      </c>
      <c r="K36" s="40">
        <v>4</v>
      </c>
      <c r="L36" s="41">
        <v>3</v>
      </c>
      <c r="M36" s="14">
        <f t="shared" si="33"/>
        <v>34</v>
      </c>
      <c r="N36" s="39">
        <v>4</v>
      </c>
      <c r="O36" s="40">
        <v>2</v>
      </c>
      <c r="P36" s="40">
        <v>7</v>
      </c>
      <c r="Q36" s="40">
        <v>5</v>
      </c>
      <c r="R36" s="40">
        <v>5</v>
      </c>
      <c r="S36" s="40">
        <v>4</v>
      </c>
      <c r="T36" s="40">
        <v>5</v>
      </c>
      <c r="U36" s="40">
        <v>3</v>
      </c>
      <c r="V36" s="41">
        <v>5</v>
      </c>
      <c r="W36" s="14">
        <f t="shared" si="4"/>
        <v>40</v>
      </c>
      <c r="X36" s="15">
        <f t="shared" si="34"/>
        <v>40</v>
      </c>
      <c r="Y36" s="16">
        <f>M36+X36</f>
        <v>74</v>
      </c>
      <c r="Z36" s="17">
        <f>SUMPRODUCT(($D36:$L36-$D$3:$L$3&lt;=--Z$1)+($N36:$V36-$N$3:$V$3&lt;=--Z$1))</f>
        <v>2</v>
      </c>
      <c r="AA36" s="18">
        <f>SUMPRODUCT(($D36:$L36-$D$3:$L$3=--AA$1)+($N36:$V36-$N$3:$V$3=--AA$1))</f>
        <v>1</v>
      </c>
      <c r="AB36" s="18">
        <f>SUMPRODUCT(($D36:$L36-$D$3:$L$3=--AB$1)+($N36:$V36-$N$3:$V$3=--AB$1))</f>
        <v>9</v>
      </c>
      <c r="AC36" s="18">
        <f>SUMPRODUCT(($D36:$L36-$D$3:$L$3=--AC$1)+($N36:$V36-$N$3:$V$3=--AC$1))</f>
        <v>5</v>
      </c>
      <c r="AD36" s="19">
        <f>SUMPRODUCT(($D36:$L36-$D$3:$L$3&gt;=--AD$1)+($N36:$V36-$N$3:$V$3&gt;=--AD$1))</f>
        <v>1</v>
      </c>
      <c r="AE36" s="38">
        <f>SUMPRODUCT(Z36:AD36/{100,100000,100000000,100000000000,100000000000000})</f>
        <v>2.0010090050010001E-2</v>
      </c>
      <c r="AF36" s="3"/>
      <c r="AG36" s="3"/>
      <c r="AH36" s="3"/>
      <c r="AI36" s="3"/>
      <c r="AJ36" s="3"/>
    </row>
    <row r="37" spans="1:36">
      <c r="A37" s="54"/>
      <c r="B37" s="65"/>
      <c r="C37" s="20" t="s">
        <v>24</v>
      </c>
      <c r="D37" s="43">
        <f>IF(D36=(D$3+3),0, IF(D36=(D$3+2),1, IF(D36=(D$3+1),2, IF(D36=D$3, 3, IF(D36=(D$3-1),5, IF(D36=(D$3-2),8, IF(D36=(D$3-3),12, 0)))))))</f>
        <v>5</v>
      </c>
      <c r="E37" s="43">
        <f>IF(E36=(E$3+3),0, IF(E36=(E$3+2),1, IF(E36=(E$3+1),2, IF(E36=E$3, 3, IF(E36=(E$3-1),5, IF(E36=(E$3-2),8, IF(E36=(E$3-3),12, 0)))))))</f>
        <v>3</v>
      </c>
      <c r="F37" s="43">
        <f t="shared" ref="F37:L37" si="39">IF(F36=(F$3+3),0, IF(F36=(F$3+2),1, IF(F36=(F$3+1),2, IF(F36=F$3, 3, IF(F36=(F$3-1),5, IF(F36=(F$3-2),8, IF(F36=(F$3-3),12, 0)))))))</f>
        <v>3</v>
      </c>
      <c r="G37" s="43">
        <f t="shared" si="39"/>
        <v>3</v>
      </c>
      <c r="H37" s="43">
        <f t="shared" si="39"/>
        <v>2</v>
      </c>
      <c r="I37" s="43">
        <f t="shared" si="39"/>
        <v>3</v>
      </c>
      <c r="J37" s="43">
        <f t="shared" si="39"/>
        <v>3</v>
      </c>
      <c r="K37" s="43">
        <f t="shared" si="39"/>
        <v>3</v>
      </c>
      <c r="L37" s="43">
        <f t="shared" si="39"/>
        <v>8</v>
      </c>
      <c r="M37" s="21">
        <f t="shared" si="33"/>
        <v>33</v>
      </c>
      <c r="N37" s="42">
        <f>IF(N36=(N$3+3),0, IF(N36=(N$3+2),1, IF(N36=(N$3+1),2, IF(N36=N$3, 3, IF(N36=(N$3-1),5, IF(N36=(N$3-2),8, IF(N36=(N$3-3),12, 0)))))))</f>
        <v>3</v>
      </c>
      <c r="O37" s="42">
        <f t="shared" ref="O37:V37" si="40">IF(O36=(O$3+3),0, IF(O36=(O$3+2),1, IF(O36=(O$3+1),2, IF(O36=O$3, 3, IF(O36=(O$3-1),5, IF(O36=(O$3-2),8, IF(O36=(O$3-3),12, 0)))))))</f>
        <v>8</v>
      </c>
      <c r="P37" s="42">
        <f t="shared" si="40"/>
        <v>1</v>
      </c>
      <c r="Q37" s="42">
        <f t="shared" si="40"/>
        <v>2</v>
      </c>
      <c r="R37" s="42">
        <f t="shared" si="40"/>
        <v>2</v>
      </c>
      <c r="S37" s="42">
        <f t="shared" si="40"/>
        <v>2</v>
      </c>
      <c r="T37" s="42">
        <f t="shared" si="40"/>
        <v>3</v>
      </c>
      <c r="U37" s="42">
        <f t="shared" si="40"/>
        <v>3</v>
      </c>
      <c r="V37" s="42">
        <f t="shared" si="40"/>
        <v>2</v>
      </c>
      <c r="W37" s="21">
        <f t="shared" si="4"/>
        <v>26</v>
      </c>
      <c r="X37" s="22">
        <f t="shared" si="34"/>
        <v>26</v>
      </c>
      <c r="Y37" s="23">
        <f>M37+X37</f>
        <v>59</v>
      </c>
      <c r="Z37" s="24"/>
      <c r="AA37" s="25"/>
      <c r="AB37" s="25"/>
      <c r="AC37" s="25"/>
      <c r="AD37" s="26"/>
      <c r="AE37" s="38"/>
      <c r="AF37" s="3"/>
      <c r="AG37" s="3"/>
      <c r="AH37" s="3"/>
      <c r="AI37" s="3"/>
      <c r="AJ37" s="3"/>
    </row>
    <row r="38" spans="1:36">
      <c r="A38" s="53" t="s">
        <v>49</v>
      </c>
      <c r="B38" s="48" t="s">
        <v>54</v>
      </c>
      <c r="C38" s="13" t="s">
        <v>23</v>
      </c>
      <c r="D38" s="39">
        <v>3</v>
      </c>
      <c r="E38" s="40">
        <v>4</v>
      </c>
      <c r="F38" s="40">
        <v>3</v>
      </c>
      <c r="G38" s="40">
        <v>4</v>
      </c>
      <c r="H38" s="40">
        <v>4</v>
      </c>
      <c r="I38" s="40">
        <v>4</v>
      </c>
      <c r="J38" s="40">
        <v>5</v>
      </c>
      <c r="K38" s="40">
        <v>4</v>
      </c>
      <c r="L38" s="41">
        <v>3</v>
      </c>
      <c r="M38" s="14">
        <f t="shared" ref="M38:M49" si="41">IF($C38="","",SUM(D38:L38))</f>
        <v>34</v>
      </c>
      <c r="N38" s="39">
        <v>4</v>
      </c>
      <c r="O38" s="40">
        <v>2</v>
      </c>
      <c r="P38" s="40">
        <v>7</v>
      </c>
      <c r="Q38" s="40">
        <v>5</v>
      </c>
      <c r="R38" s="40">
        <v>5</v>
      </c>
      <c r="S38" s="40">
        <v>4</v>
      </c>
      <c r="T38" s="40">
        <v>5</v>
      </c>
      <c r="U38" s="40">
        <v>3</v>
      </c>
      <c r="V38" s="41">
        <v>5</v>
      </c>
      <c r="W38" s="14">
        <f t="shared" si="4"/>
        <v>40</v>
      </c>
      <c r="X38" s="15">
        <f t="shared" ref="X38:X49" si="42">IF($C38="","",SUM(N38:V38))</f>
        <v>40</v>
      </c>
      <c r="Y38" s="16">
        <f>M38+X38</f>
        <v>74</v>
      </c>
      <c r="Z38" s="17">
        <f>SUMPRODUCT(($D38:$L38-$D$3:$L$3&lt;=--Z$1)+($N38:$V38-$N$3:$V$3&lt;=--Z$1))</f>
        <v>2</v>
      </c>
      <c r="AA38" s="18">
        <f>SUMPRODUCT(($D38:$L38-$D$3:$L$3=--AA$1)+($N38:$V38-$N$3:$V$3=--AA$1))</f>
        <v>1</v>
      </c>
      <c r="AB38" s="18">
        <f>SUMPRODUCT(($D38:$L38-$D$3:$L$3=--AB$1)+($N38:$V38-$N$3:$V$3=--AB$1))</f>
        <v>9</v>
      </c>
      <c r="AC38" s="18">
        <f>SUMPRODUCT(($D38:$L38-$D$3:$L$3=--AC$1)+($N38:$V38-$N$3:$V$3=--AC$1))</f>
        <v>5</v>
      </c>
      <c r="AD38" s="19">
        <f>SUMPRODUCT(($D38:$L38-$D$3:$L$3&gt;=--AD$1)+($N38:$V38-$N$3:$V$3&gt;=--AD$1))</f>
        <v>1</v>
      </c>
      <c r="AE38" s="38">
        <f>SUMPRODUCT(Z38:AD38/{100,100000,100000000,100000000000,100000000000000})</f>
        <v>2.0010090050010001E-2</v>
      </c>
      <c r="AF38" s="3"/>
      <c r="AG38" s="3"/>
      <c r="AH38" s="3"/>
      <c r="AI38" s="3"/>
      <c r="AJ38" s="3"/>
    </row>
    <row r="39" spans="1:36">
      <c r="A39" s="54"/>
      <c r="B39" s="49"/>
      <c r="C39" s="20" t="s">
        <v>24</v>
      </c>
      <c r="D39" s="43">
        <f>IF(D38=(D$3+3),0, IF(D38=(D$3+2),1, IF(D38=(D$3+1),2, IF(D38=D$3, 3, IF(D38=(D$3-1),5, IF(D38=(D$3-2),8, IF(D38=(D$3-3),12, 0)))))))</f>
        <v>5</v>
      </c>
      <c r="E39" s="43">
        <f>IF(E38=(E$3+3),0, IF(E38=(E$3+2),1, IF(E38=(E$3+1),2, IF(E38=E$3, 3, IF(E38=(E$3-1),5, IF(E38=(E$3-2),8, IF(E38=(E$3-3),12, 0)))))))</f>
        <v>3</v>
      </c>
      <c r="F39" s="43">
        <f t="shared" ref="F39:L39" si="43">IF(F38=(F$3+3),0, IF(F38=(F$3+2),1, IF(F38=(F$3+1),2, IF(F38=F$3, 3, IF(F38=(F$3-1),5, IF(F38=(F$3-2),8, IF(F38=(F$3-3),12, 0)))))))</f>
        <v>3</v>
      </c>
      <c r="G39" s="43">
        <f t="shared" si="43"/>
        <v>3</v>
      </c>
      <c r="H39" s="43">
        <f t="shared" si="43"/>
        <v>2</v>
      </c>
      <c r="I39" s="43">
        <f t="shared" si="43"/>
        <v>3</v>
      </c>
      <c r="J39" s="43">
        <f t="shared" si="43"/>
        <v>3</v>
      </c>
      <c r="K39" s="43">
        <f t="shared" si="43"/>
        <v>3</v>
      </c>
      <c r="L39" s="43">
        <f t="shared" si="43"/>
        <v>8</v>
      </c>
      <c r="M39" s="21">
        <f t="shared" si="41"/>
        <v>33</v>
      </c>
      <c r="N39" s="42">
        <f>IF(N38=(N$3+3),0, IF(N38=(N$3+2),1, IF(N38=(N$3+1),2, IF(N38=N$3, 3, IF(N38=(N$3-1),5, IF(N38=(N$3-2),8, IF(N38=(N$3-3),12, 0)))))))</f>
        <v>3</v>
      </c>
      <c r="O39" s="42">
        <f t="shared" ref="O39:V39" si="44">IF(O38=(O$3+3),0, IF(O38=(O$3+2),1, IF(O38=(O$3+1),2, IF(O38=O$3, 3, IF(O38=(O$3-1),5, IF(O38=(O$3-2),8, IF(O38=(O$3-3),12, 0)))))))</f>
        <v>8</v>
      </c>
      <c r="P39" s="42">
        <f t="shared" si="44"/>
        <v>1</v>
      </c>
      <c r="Q39" s="42">
        <f t="shared" si="44"/>
        <v>2</v>
      </c>
      <c r="R39" s="42">
        <f t="shared" si="44"/>
        <v>2</v>
      </c>
      <c r="S39" s="42">
        <f t="shared" si="44"/>
        <v>2</v>
      </c>
      <c r="T39" s="42">
        <f t="shared" si="44"/>
        <v>3</v>
      </c>
      <c r="U39" s="42">
        <f t="shared" si="44"/>
        <v>3</v>
      </c>
      <c r="V39" s="42">
        <f t="shared" si="44"/>
        <v>2</v>
      </c>
      <c r="W39" s="21">
        <f t="shared" si="4"/>
        <v>26</v>
      </c>
      <c r="X39" s="22">
        <f t="shared" si="42"/>
        <v>26</v>
      </c>
      <c r="Y39" s="23">
        <f>M39+X39</f>
        <v>59</v>
      </c>
      <c r="Z39" s="24"/>
      <c r="AA39" s="25"/>
      <c r="AB39" s="25"/>
      <c r="AC39" s="25"/>
      <c r="AD39" s="26"/>
      <c r="AE39" s="38"/>
      <c r="AF39" s="3"/>
      <c r="AG39" s="3"/>
      <c r="AH39" s="3"/>
      <c r="AI39" s="3"/>
      <c r="AJ39" s="3"/>
    </row>
    <row r="40" spans="1:36">
      <c r="A40" s="53" t="s">
        <v>49</v>
      </c>
      <c r="B40" s="48" t="s">
        <v>55</v>
      </c>
      <c r="C40" s="13" t="s">
        <v>23</v>
      </c>
      <c r="D40" s="39">
        <v>3</v>
      </c>
      <c r="E40" s="40">
        <v>4</v>
      </c>
      <c r="F40" s="40">
        <v>3</v>
      </c>
      <c r="G40" s="40">
        <v>4</v>
      </c>
      <c r="H40" s="40">
        <v>4</v>
      </c>
      <c r="I40" s="40">
        <v>4</v>
      </c>
      <c r="J40" s="40">
        <v>5</v>
      </c>
      <c r="K40" s="40">
        <v>4</v>
      </c>
      <c r="L40" s="41">
        <v>3</v>
      </c>
      <c r="M40" s="14">
        <f t="shared" si="41"/>
        <v>34</v>
      </c>
      <c r="N40" s="39">
        <v>4</v>
      </c>
      <c r="O40" s="40">
        <v>2</v>
      </c>
      <c r="P40" s="40">
        <v>7</v>
      </c>
      <c r="Q40" s="40">
        <v>5</v>
      </c>
      <c r="R40" s="40">
        <v>5</v>
      </c>
      <c r="S40" s="40">
        <v>4</v>
      </c>
      <c r="T40" s="40">
        <v>5</v>
      </c>
      <c r="U40" s="40">
        <v>3</v>
      </c>
      <c r="V40" s="41">
        <v>5</v>
      </c>
      <c r="W40" s="14">
        <f t="shared" si="4"/>
        <v>40</v>
      </c>
      <c r="X40" s="15">
        <f t="shared" si="42"/>
        <v>40</v>
      </c>
      <c r="Y40" s="16">
        <f>M40+X40</f>
        <v>74</v>
      </c>
      <c r="Z40" s="17">
        <f>SUMPRODUCT(($D40:$L40-$D$3:$L$3&lt;=--Z$1)+($N40:$V40-$N$3:$V$3&lt;=--Z$1))</f>
        <v>2</v>
      </c>
      <c r="AA40" s="18">
        <f>SUMPRODUCT(($D40:$L40-$D$3:$L$3=--AA$1)+($N40:$V40-$N$3:$V$3=--AA$1))</f>
        <v>1</v>
      </c>
      <c r="AB40" s="18">
        <f>SUMPRODUCT(($D40:$L40-$D$3:$L$3=--AB$1)+($N40:$V40-$N$3:$V$3=--AB$1))</f>
        <v>9</v>
      </c>
      <c r="AC40" s="18">
        <f>SUMPRODUCT(($D40:$L40-$D$3:$L$3=--AC$1)+($N40:$V40-$N$3:$V$3=--AC$1))</f>
        <v>5</v>
      </c>
      <c r="AD40" s="19">
        <f>SUMPRODUCT(($D40:$L40-$D$3:$L$3&gt;=--AD$1)+($N40:$V40-$N$3:$V$3&gt;=--AD$1))</f>
        <v>1</v>
      </c>
      <c r="AE40" s="38">
        <f>SUMPRODUCT(Z40:AD40/{100,100000,100000000,100000000000,100000000000000})</f>
        <v>2.0010090050010001E-2</v>
      </c>
      <c r="AF40" s="3"/>
      <c r="AG40" s="3"/>
      <c r="AH40" s="3"/>
      <c r="AI40" s="3"/>
      <c r="AJ40" s="3"/>
    </row>
    <row r="41" spans="1:36">
      <c r="A41" s="54"/>
      <c r="B41" s="49"/>
      <c r="C41" s="20" t="s">
        <v>24</v>
      </c>
      <c r="D41" s="43">
        <f>IF(D40=(D$3+3),0, IF(D40=(D$3+2),1, IF(D40=(D$3+1),2, IF(D40=D$3, 3, IF(D40=(D$3-1),5, IF(D40=(D$3-2),8, IF(D40=(D$3-3),12, 0)))))))</f>
        <v>5</v>
      </c>
      <c r="E41" s="43">
        <f>IF(E40=(E$3+3),0, IF(E40=(E$3+2),1, IF(E40=(E$3+1),2, IF(E40=E$3, 3, IF(E40=(E$3-1),5, IF(E40=(E$3-2),8, IF(E40=(E$3-3),12, 0)))))))</f>
        <v>3</v>
      </c>
      <c r="F41" s="43">
        <f t="shared" ref="F41:L41" si="45">IF(F40=(F$3+3),0, IF(F40=(F$3+2),1, IF(F40=(F$3+1),2, IF(F40=F$3, 3, IF(F40=(F$3-1),5, IF(F40=(F$3-2),8, IF(F40=(F$3-3),12, 0)))))))</f>
        <v>3</v>
      </c>
      <c r="G41" s="43">
        <f t="shared" si="45"/>
        <v>3</v>
      </c>
      <c r="H41" s="43">
        <f t="shared" si="45"/>
        <v>2</v>
      </c>
      <c r="I41" s="43">
        <f t="shared" si="45"/>
        <v>3</v>
      </c>
      <c r="J41" s="43">
        <f t="shared" si="45"/>
        <v>3</v>
      </c>
      <c r="K41" s="43">
        <f t="shared" si="45"/>
        <v>3</v>
      </c>
      <c r="L41" s="43">
        <f t="shared" si="45"/>
        <v>8</v>
      </c>
      <c r="M41" s="21">
        <f t="shared" si="41"/>
        <v>33</v>
      </c>
      <c r="N41" s="42">
        <f>IF(N40=(N$3+3),0, IF(N40=(N$3+2),1, IF(N40=(N$3+1),2, IF(N40=N$3, 3, IF(N40=(N$3-1),5, IF(N40=(N$3-2),8, IF(N40=(N$3-3),12, 0)))))))</f>
        <v>3</v>
      </c>
      <c r="O41" s="42">
        <f t="shared" ref="O41:V41" si="46">IF(O40=(O$3+3),0, IF(O40=(O$3+2),1, IF(O40=(O$3+1),2, IF(O40=O$3, 3, IF(O40=(O$3-1),5, IF(O40=(O$3-2),8, IF(O40=(O$3-3),12, 0)))))))</f>
        <v>8</v>
      </c>
      <c r="P41" s="42">
        <f t="shared" si="46"/>
        <v>1</v>
      </c>
      <c r="Q41" s="42">
        <f t="shared" si="46"/>
        <v>2</v>
      </c>
      <c r="R41" s="42">
        <f t="shared" si="46"/>
        <v>2</v>
      </c>
      <c r="S41" s="42">
        <f t="shared" si="46"/>
        <v>2</v>
      </c>
      <c r="T41" s="42">
        <f t="shared" si="46"/>
        <v>3</v>
      </c>
      <c r="U41" s="42">
        <f t="shared" si="46"/>
        <v>3</v>
      </c>
      <c r="V41" s="42">
        <f t="shared" si="46"/>
        <v>2</v>
      </c>
      <c r="W41" s="21">
        <f t="shared" si="4"/>
        <v>26</v>
      </c>
      <c r="X41" s="22">
        <f t="shared" si="42"/>
        <v>26</v>
      </c>
      <c r="Y41" s="23">
        <f>M41+X41</f>
        <v>59</v>
      </c>
      <c r="Z41" s="24"/>
      <c r="AA41" s="25"/>
      <c r="AB41" s="25"/>
      <c r="AC41" s="25"/>
      <c r="AD41" s="26"/>
      <c r="AE41" s="38"/>
      <c r="AF41" s="3"/>
      <c r="AG41" s="3"/>
      <c r="AH41" s="3"/>
      <c r="AI41" s="3"/>
      <c r="AJ41" s="3"/>
    </row>
    <row r="42" spans="1:36">
      <c r="A42" s="53" t="s">
        <v>49</v>
      </c>
      <c r="B42" s="48" t="s">
        <v>58</v>
      </c>
      <c r="C42" s="13" t="s">
        <v>23</v>
      </c>
      <c r="D42" s="39">
        <v>3</v>
      </c>
      <c r="E42" s="40">
        <v>4</v>
      </c>
      <c r="F42" s="40">
        <v>3</v>
      </c>
      <c r="G42" s="40">
        <v>4</v>
      </c>
      <c r="H42" s="40">
        <v>4</v>
      </c>
      <c r="I42" s="40">
        <v>4</v>
      </c>
      <c r="J42" s="40">
        <v>5</v>
      </c>
      <c r="K42" s="40">
        <v>4</v>
      </c>
      <c r="L42" s="41">
        <v>3</v>
      </c>
      <c r="M42" s="14">
        <f t="shared" ref="M42:M43" si="47">IF($C42="","",SUM(D42:L42))</f>
        <v>34</v>
      </c>
      <c r="N42" s="39">
        <v>4</v>
      </c>
      <c r="O42" s="40">
        <v>2</v>
      </c>
      <c r="P42" s="40">
        <v>7</v>
      </c>
      <c r="Q42" s="40">
        <v>5</v>
      </c>
      <c r="R42" s="40">
        <v>5</v>
      </c>
      <c r="S42" s="40">
        <v>4</v>
      </c>
      <c r="T42" s="40">
        <v>5</v>
      </c>
      <c r="U42" s="40">
        <v>3</v>
      </c>
      <c r="V42" s="41">
        <v>5</v>
      </c>
      <c r="W42" s="14">
        <f t="shared" si="4"/>
        <v>40</v>
      </c>
      <c r="X42" s="15">
        <f t="shared" ref="X42:X43" si="48">IF($C42="","",SUM(N42:V42))</f>
        <v>40</v>
      </c>
      <c r="Y42" s="16">
        <f>M42+X42</f>
        <v>74</v>
      </c>
      <c r="Z42" s="17">
        <f>SUMPRODUCT(($D42:$L42-$D$3:$L$3&lt;=--Z$1)+($N42:$V42-$N$3:$V$3&lt;=--Z$1))</f>
        <v>2</v>
      </c>
      <c r="AA42" s="18">
        <f>SUMPRODUCT(($D42:$L42-$D$3:$L$3=--AA$1)+($N42:$V42-$N$3:$V$3=--AA$1))</f>
        <v>1</v>
      </c>
      <c r="AB42" s="18">
        <f>SUMPRODUCT(($D42:$L42-$D$3:$L$3=--AB$1)+($N42:$V42-$N$3:$V$3=--AB$1))</f>
        <v>9</v>
      </c>
      <c r="AC42" s="18">
        <f>SUMPRODUCT(($D42:$L42-$D$3:$L$3=--AC$1)+($N42:$V42-$N$3:$V$3=--AC$1))</f>
        <v>5</v>
      </c>
      <c r="AD42" s="19">
        <f>SUMPRODUCT(($D42:$L42-$D$3:$L$3&gt;=--AD$1)+($N42:$V42-$N$3:$V$3&gt;=--AD$1))</f>
        <v>1</v>
      </c>
      <c r="AE42" s="38">
        <f>SUMPRODUCT(Z42:AD42/{100,100000,100000000,100000000000,100000000000000})</f>
        <v>2.0010090050010001E-2</v>
      </c>
      <c r="AF42" s="3"/>
      <c r="AG42" s="3"/>
      <c r="AH42" s="3"/>
      <c r="AI42" s="3"/>
      <c r="AJ42" s="3"/>
    </row>
    <row r="43" spans="1:36">
      <c r="A43" s="54"/>
      <c r="B43" s="49"/>
      <c r="C43" s="20" t="s">
        <v>24</v>
      </c>
      <c r="D43" s="43">
        <f>IF(D42=(D$3+3),0, IF(D42=(D$3+2),1, IF(D42=(D$3+1),2, IF(D42=D$3, 3, IF(D42=(D$3-1),5, IF(D42=(D$3-2),8, IF(D42=(D$3-3),12, 0)))))))</f>
        <v>5</v>
      </c>
      <c r="E43" s="43">
        <f>IF(E42=(E$3+3),0, IF(E42=(E$3+2),1, IF(E42=(E$3+1),2, IF(E42=E$3, 3, IF(E42=(E$3-1),5, IF(E42=(E$3-2),8, IF(E42=(E$3-3),12, 0)))))))</f>
        <v>3</v>
      </c>
      <c r="F43" s="43">
        <f t="shared" ref="F43:L43" si="49">IF(F42=(F$3+3),0, IF(F42=(F$3+2),1, IF(F42=(F$3+1),2, IF(F42=F$3, 3, IF(F42=(F$3-1),5, IF(F42=(F$3-2),8, IF(F42=(F$3-3),12, 0)))))))</f>
        <v>3</v>
      </c>
      <c r="G43" s="43">
        <f t="shared" si="49"/>
        <v>3</v>
      </c>
      <c r="H43" s="43">
        <f t="shared" si="49"/>
        <v>2</v>
      </c>
      <c r="I43" s="43">
        <f t="shared" si="49"/>
        <v>3</v>
      </c>
      <c r="J43" s="43">
        <f t="shared" si="49"/>
        <v>3</v>
      </c>
      <c r="K43" s="43">
        <f t="shared" si="49"/>
        <v>3</v>
      </c>
      <c r="L43" s="43">
        <f t="shared" si="49"/>
        <v>8</v>
      </c>
      <c r="M43" s="21">
        <f t="shared" si="47"/>
        <v>33</v>
      </c>
      <c r="N43" s="42">
        <f>IF(N42=(N$3+3),0, IF(N42=(N$3+2),1, IF(N42=(N$3+1),2, IF(N42=N$3, 3, IF(N42=(N$3-1),5, IF(N42=(N$3-2),8, IF(N42=(N$3-3),12, 0)))))))</f>
        <v>3</v>
      </c>
      <c r="O43" s="42">
        <f t="shared" ref="O43:V43" si="50">IF(O42=(O$3+3),0, IF(O42=(O$3+2),1, IF(O42=(O$3+1),2, IF(O42=O$3, 3, IF(O42=(O$3-1),5, IF(O42=(O$3-2),8, IF(O42=(O$3-3),12, 0)))))))</f>
        <v>8</v>
      </c>
      <c r="P43" s="42">
        <f t="shared" si="50"/>
        <v>1</v>
      </c>
      <c r="Q43" s="42">
        <f t="shared" si="50"/>
        <v>2</v>
      </c>
      <c r="R43" s="42">
        <f t="shared" si="50"/>
        <v>2</v>
      </c>
      <c r="S43" s="42">
        <f t="shared" si="50"/>
        <v>2</v>
      </c>
      <c r="T43" s="42">
        <f t="shared" si="50"/>
        <v>3</v>
      </c>
      <c r="U43" s="42">
        <f t="shared" si="50"/>
        <v>3</v>
      </c>
      <c r="V43" s="42">
        <f t="shared" si="50"/>
        <v>2</v>
      </c>
      <c r="W43" s="21">
        <f t="shared" si="4"/>
        <v>26</v>
      </c>
      <c r="X43" s="22">
        <f t="shared" si="48"/>
        <v>26</v>
      </c>
      <c r="Y43" s="23">
        <f>M43+X43</f>
        <v>59</v>
      </c>
      <c r="Z43" s="24"/>
      <c r="AA43" s="25"/>
      <c r="AB43" s="25"/>
      <c r="AC43" s="25"/>
      <c r="AD43" s="26"/>
      <c r="AE43" s="38"/>
      <c r="AF43" s="3"/>
      <c r="AG43" s="3"/>
      <c r="AH43" s="3"/>
      <c r="AI43" s="3"/>
      <c r="AJ43" s="3"/>
    </row>
    <row r="44" spans="1:36">
      <c r="A44" s="53" t="s">
        <v>49</v>
      </c>
      <c r="B44" s="48" t="s">
        <v>56</v>
      </c>
      <c r="C44" s="13" t="s">
        <v>23</v>
      </c>
      <c r="D44" s="39">
        <v>3</v>
      </c>
      <c r="E44" s="40">
        <v>4</v>
      </c>
      <c r="F44" s="40">
        <v>3</v>
      </c>
      <c r="G44" s="40">
        <v>4</v>
      </c>
      <c r="H44" s="40">
        <v>4</v>
      </c>
      <c r="I44" s="40">
        <v>4</v>
      </c>
      <c r="J44" s="40">
        <v>5</v>
      </c>
      <c r="K44" s="40">
        <v>4</v>
      </c>
      <c r="L44" s="41">
        <v>3</v>
      </c>
      <c r="M44" s="14">
        <f t="shared" si="41"/>
        <v>34</v>
      </c>
      <c r="N44" s="39">
        <v>4</v>
      </c>
      <c r="O44" s="40">
        <v>2</v>
      </c>
      <c r="P44" s="40">
        <v>7</v>
      </c>
      <c r="Q44" s="40">
        <v>5</v>
      </c>
      <c r="R44" s="40">
        <v>5</v>
      </c>
      <c r="S44" s="40">
        <v>4</v>
      </c>
      <c r="T44" s="40">
        <v>5</v>
      </c>
      <c r="U44" s="40">
        <v>3</v>
      </c>
      <c r="V44" s="41">
        <v>5</v>
      </c>
      <c r="W44" s="14">
        <f t="shared" si="4"/>
        <v>40</v>
      </c>
      <c r="X44" s="15">
        <f t="shared" si="42"/>
        <v>40</v>
      </c>
      <c r="Y44" s="16">
        <f>M44+X44</f>
        <v>74</v>
      </c>
      <c r="Z44" s="17">
        <f>SUMPRODUCT(($D44:$L44-$D$3:$L$3&lt;=--Z$1)+($N44:$V44-$N$3:$V$3&lt;=--Z$1))</f>
        <v>2</v>
      </c>
      <c r="AA44" s="18">
        <f>SUMPRODUCT(($D44:$L44-$D$3:$L$3=--AA$1)+($N44:$V44-$N$3:$V$3=--AA$1))</f>
        <v>1</v>
      </c>
      <c r="AB44" s="18">
        <f>SUMPRODUCT(($D44:$L44-$D$3:$L$3=--AB$1)+($N44:$V44-$N$3:$V$3=--AB$1))</f>
        <v>9</v>
      </c>
      <c r="AC44" s="18">
        <f>SUMPRODUCT(($D44:$L44-$D$3:$L$3=--AC$1)+($N44:$V44-$N$3:$V$3=--AC$1))</f>
        <v>5</v>
      </c>
      <c r="AD44" s="19">
        <f>SUMPRODUCT(($D44:$L44-$D$3:$L$3&gt;=--AD$1)+($N44:$V44-$N$3:$V$3&gt;=--AD$1))</f>
        <v>1</v>
      </c>
      <c r="AE44" s="38">
        <f>SUMPRODUCT(Z44:AD44/{100,100000,100000000,100000000000,100000000000000})</f>
        <v>2.0010090050010001E-2</v>
      </c>
      <c r="AF44" s="3"/>
      <c r="AG44" s="3"/>
      <c r="AH44" s="3"/>
      <c r="AI44" s="3"/>
      <c r="AJ44" s="3"/>
    </row>
    <row r="45" spans="1:36">
      <c r="A45" s="54"/>
      <c r="B45" s="49"/>
      <c r="C45" s="20" t="s">
        <v>24</v>
      </c>
      <c r="D45" s="43">
        <f>IF(D44=(D$3+3),0, IF(D44=(D$3+2),1, IF(D44=(D$3+1),2, IF(D44=D$3, 3, IF(D44=(D$3-1),5, IF(D44=(D$3-2),8, IF(D44=(D$3-3),12, 0)))))))</f>
        <v>5</v>
      </c>
      <c r="E45" s="43">
        <f>IF(E44=(E$3+3),0, IF(E44=(E$3+2),1, IF(E44=(E$3+1),2, IF(E44=E$3, 3, IF(E44=(E$3-1),5, IF(E44=(E$3-2),8, IF(E44=(E$3-3),12, 0)))))))</f>
        <v>3</v>
      </c>
      <c r="F45" s="43">
        <f t="shared" ref="F45:L45" si="51">IF(F44=(F$3+3),0, IF(F44=(F$3+2),1, IF(F44=(F$3+1),2, IF(F44=F$3, 3, IF(F44=(F$3-1),5, IF(F44=(F$3-2),8, IF(F44=(F$3-3),12, 0)))))))</f>
        <v>3</v>
      </c>
      <c r="G45" s="43">
        <f t="shared" si="51"/>
        <v>3</v>
      </c>
      <c r="H45" s="43">
        <f t="shared" si="51"/>
        <v>2</v>
      </c>
      <c r="I45" s="43">
        <f t="shared" si="51"/>
        <v>3</v>
      </c>
      <c r="J45" s="43">
        <f t="shared" si="51"/>
        <v>3</v>
      </c>
      <c r="K45" s="43">
        <f t="shared" si="51"/>
        <v>3</v>
      </c>
      <c r="L45" s="43">
        <f t="shared" si="51"/>
        <v>8</v>
      </c>
      <c r="M45" s="21">
        <f t="shared" si="41"/>
        <v>33</v>
      </c>
      <c r="N45" s="42">
        <f>IF(N44=(N$3+3),0, IF(N44=(N$3+2),1, IF(N44=(N$3+1),2, IF(N44=N$3, 3, IF(N44=(N$3-1),5, IF(N44=(N$3-2),8, IF(N44=(N$3-3),12, 0)))))))</f>
        <v>3</v>
      </c>
      <c r="O45" s="42">
        <f t="shared" ref="O45:V45" si="52">IF(O44=(O$3+3),0, IF(O44=(O$3+2),1, IF(O44=(O$3+1),2, IF(O44=O$3, 3, IF(O44=(O$3-1),5, IF(O44=(O$3-2),8, IF(O44=(O$3-3),12, 0)))))))</f>
        <v>8</v>
      </c>
      <c r="P45" s="42">
        <f t="shared" si="52"/>
        <v>1</v>
      </c>
      <c r="Q45" s="42">
        <f t="shared" si="52"/>
        <v>2</v>
      </c>
      <c r="R45" s="42">
        <f t="shared" si="52"/>
        <v>2</v>
      </c>
      <c r="S45" s="42">
        <f t="shared" si="52"/>
        <v>2</v>
      </c>
      <c r="T45" s="42">
        <f t="shared" si="52"/>
        <v>3</v>
      </c>
      <c r="U45" s="42">
        <f t="shared" si="52"/>
        <v>3</v>
      </c>
      <c r="V45" s="42">
        <f t="shared" si="52"/>
        <v>2</v>
      </c>
      <c r="W45" s="21">
        <f t="shared" si="4"/>
        <v>26</v>
      </c>
      <c r="X45" s="22">
        <f t="shared" si="42"/>
        <v>26</v>
      </c>
      <c r="Y45" s="23">
        <f>M45+X45</f>
        <v>59</v>
      </c>
      <c r="Z45" s="24"/>
      <c r="AA45" s="25"/>
      <c r="AB45" s="25"/>
      <c r="AC45" s="25"/>
      <c r="AD45" s="26"/>
      <c r="AE45" s="38"/>
      <c r="AF45" s="3"/>
      <c r="AG45" s="3"/>
      <c r="AH45" s="3"/>
      <c r="AI45" s="3"/>
      <c r="AJ45" s="3"/>
    </row>
    <row r="46" spans="1:36">
      <c r="A46" s="53" t="s">
        <v>49</v>
      </c>
      <c r="B46" s="48" t="s">
        <v>57</v>
      </c>
      <c r="C46" s="13" t="s">
        <v>23</v>
      </c>
      <c r="D46" s="39">
        <v>3</v>
      </c>
      <c r="E46" s="40">
        <v>4</v>
      </c>
      <c r="F46" s="40">
        <v>3</v>
      </c>
      <c r="G46" s="40">
        <v>4</v>
      </c>
      <c r="H46" s="40">
        <v>4</v>
      </c>
      <c r="I46" s="40">
        <v>4</v>
      </c>
      <c r="J46" s="40">
        <v>5</v>
      </c>
      <c r="K46" s="40">
        <v>4</v>
      </c>
      <c r="L46" s="41">
        <v>3</v>
      </c>
      <c r="M46" s="14">
        <f t="shared" si="41"/>
        <v>34</v>
      </c>
      <c r="N46" s="39">
        <v>4</v>
      </c>
      <c r="O46" s="40">
        <v>2</v>
      </c>
      <c r="P46" s="40">
        <v>7</v>
      </c>
      <c r="Q46" s="40">
        <v>5</v>
      </c>
      <c r="R46" s="40">
        <v>5</v>
      </c>
      <c r="S46" s="40">
        <v>4</v>
      </c>
      <c r="T46" s="40">
        <v>5</v>
      </c>
      <c r="U46" s="40">
        <v>3</v>
      </c>
      <c r="V46" s="41">
        <v>5</v>
      </c>
      <c r="W46" s="14">
        <f t="shared" si="4"/>
        <v>40</v>
      </c>
      <c r="X46" s="15">
        <f t="shared" si="42"/>
        <v>40</v>
      </c>
      <c r="Y46" s="16">
        <f>M46+X46</f>
        <v>74</v>
      </c>
      <c r="Z46" s="17">
        <f>SUMPRODUCT(($D46:$L46-$D$3:$L$3&lt;=--Z$1)+($N46:$V46-$N$3:$V$3&lt;=--Z$1))</f>
        <v>2</v>
      </c>
      <c r="AA46" s="18">
        <f>SUMPRODUCT(($D46:$L46-$D$3:$L$3=--AA$1)+($N46:$V46-$N$3:$V$3=--AA$1))</f>
        <v>1</v>
      </c>
      <c r="AB46" s="18">
        <f>SUMPRODUCT(($D46:$L46-$D$3:$L$3=--AB$1)+($N46:$V46-$N$3:$V$3=--AB$1))</f>
        <v>9</v>
      </c>
      <c r="AC46" s="18">
        <f>SUMPRODUCT(($D46:$L46-$D$3:$L$3=--AC$1)+($N46:$V46-$N$3:$V$3=--AC$1))</f>
        <v>5</v>
      </c>
      <c r="AD46" s="19">
        <f>SUMPRODUCT(($D46:$L46-$D$3:$L$3&gt;=--AD$1)+($N46:$V46-$N$3:$V$3&gt;=--AD$1))</f>
        <v>1</v>
      </c>
      <c r="AE46" s="38">
        <f>SUMPRODUCT(Z46:AD46/{100,100000,100000000,100000000000,100000000000000})</f>
        <v>2.0010090050010001E-2</v>
      </c>
      <c r="AF46" s="3"/>
      <c r="AG46" s="3"/>
      <c r="AH46" s="3"/>
      <c r="AI46" s="3"/>
      <c r="AJ46" s="3"/>
    </row>
    <row r="47" spans="1:36">
      <c r="A47" s="54"/>
      <c r="B47" s="49"/>
      <c r="C47" s="20" t="s">
        <v>24</v>
      </c>
      <c r="D47" s="43">
        <f>IF(D46=(D$3+3),0, IF(D46=(D$3+2),1, IF(D46=(D$3+1),2, IF(D46=D$3, 3, IF(D46=(D$3-1),5, IF(D46=(D$3-2),8, IF(D46=(D$3-3),12, 0)))))))</f>
        <v>5</v>
      </c>
      <c r="E47" s="43">
        <f>IF(E46=(E$3+3),0, IF(E46=(E$3+2),1, IF(E46=(E$3+1),2, IF(E46=E$3, 3, IF(E46=(E$3-1),5, IF(E46=(E$3-2),8, IF(E46=(E$3-3),12, 0)))))))</f>
        <v>3</v>
      </c>
      <c r="F47" s="43">
        <f t="shared" ref="F47:L47" si="53">IF(F46=(F$3+3),0, IF(F46=(F$3+2),1, IF(F46=(F$3+1),2, IF(F46=F$3, 3, IF(F46=(F$3-1),5, IF(F46=(F$3-2),8, IF(F46=(F$3-3),12, 0)))))))</f>
        <v>3</v>
      </c>
      <c r="G47" s="43">
        <f t="shared" si="53"/>
        <v>3</v>
      </c>
      <c r="H47" s="43">
        <f t="shared" si="53"/>
        <v>2</v>
      </c>
      <c r="I47" s="43">
        <f t="shared" si="53"/>
        <v>3</v>
      </c>
      <c r="J47" s="43">
        <f t="shared" si="53"/>
        <v>3</v>
      </c>
      <c r="K47" s="43">
        <f t="shared" si="53"/>
        <v>3</v>
      </c>
      <c r="L47" s="43">
        <f t="shared" si="53"/>
        <v>8</v>
      </c>
      <c r="M47" s="21">
        <f t="shared" si="41"/>
        <v>33</v>
      </c>
      <c r="N47" s="42">
        <f>IF(N46=(N$3+3),0, IF(N46=(N$3+2),1, IF(N46=(N$3+1),2, IF(N46=N$3, 3, IF(N46=(N$3-1),5, IF(N46=(N$3-2),8, IF(N46=(N$3-3),12, 0)))))))</f>
        <v>3</v>
      </c>
      <c r="O47" s="42">
        <f t="shared" ref="O47:V47" si="54">IF(O46=(O$3+3),0, IF(O46=(O$3+2),1, IF(O46=(O$3+1),2, IF(O46=O$3, 3, IF(O46=(O$3-1),5, IF(O46=(O$3-2),8, IF(O46=(O$3-3),12, 0)))))))</f>
        <v>8</v>
      </c>
      <c r="P47" s="42">
        <f t="shared" si="54"/>
        <v>1</v>
      </c>
      <c r="Q47" s="42">
        <f t="shared" si="54"/>
        <v>2</v>
      </c>
      <c r="R47" s="42">
        <f t="shared" si="54"/>
        <v>2</v>
      </c>
      <c r="S47" s="42">
        <f t="shared" si="54"/>
        <v>2</v>
      </c>
      <c r="T47" s="42">
        <f t="shared" si="54"/>
        <v>3</v>
      </c>
      <c r="U47" s="42">
        <f t="shared" si="54"/>
        <v>3</v>
      </c>
      <c r="V47" s="42">
        <f t="shared" si="54"/>
        <v>2</v>
      </c>
      <c r="W47" s="21">
        <f t="shared" si="4"/>
        <v>26</v>
      </c>
      <c r="X47" s="22">
        <f t="shared" si="42"/>
        <v>26</v>
      </c>
      <c r="Y47" s="23">
        <f>M47+X47</f>
        <v>59</v>
      </c>
      <c r="Z47" s="24"/>
      <c r="AA47" s="25"/>
      <c r="AB47" s="25"/>
      <c r="AC47" s="25"/>
      <c r="AD47" s="26"/>
      <c r="AE47" s="38"/>
      <c r="AF47" s="3"/>
      <c r="AG47" s="3"/>
      <c r="AH47" s="3"/>
      <c r="AI47" s="3"/>
      <c r="AJ47" s="3"/>
    </row>
    <row r="48" spans="1:36">
      <c r="A48" s="53" t="s">
        <v>49</v>
      </c>
      <c r="B48" s="48" t="s">
        <v>59</v>
      </c>
      <c r="C48" s="13" t="s">
        <v>23</v>
      </c>
      <c r="D48" s="39">
        <v>3</v>
      </c>
      <c r="E48" s="40">
        <v>4</v>
      </c>
      <c r="F48" s="40">
        <v>3</v>
      </c>
      <c r="G48" s="40">
        <v>4</v>
      </c>
      <c r="H48" s="40">
        <v>4</v>
      </c>
      <c r="I48" s="40">
        <v>4</v>
      </c>
      <c r="J48" s="40">
        <v>5</v>
      </c>
      <c r="K48" s="40">
        <v>4</v>
      </c>
      <c r="L48" s="41">
        <v>3</v>
      </c>
      <c r="M48" s="14">
        <f t="shared" si="41"/>
        <v>34</v>
      </c>
      <c r="N48" s="39">
        <v>4</v>
      </c>
      <c r="O48" s="40">
        <v>2</v>
      </c>
      <c r="P48" s="40">
        <v>7</v>
      </c>
      <c r="Q48" s="40">
        <v>5</v>
      </c>
      <c r="R48" s="40">
        <v>5</v>
      </c>
      <c r="S48" s="40">
        <v>4</v>
      </c>
      <c r="T48" s="40">
        <v>5</v>
      </c>
      <c r="U48" s="40">
        <v>3</v>
      </c>
      <c r="V48" s="41">
        <v>5</v>
      </c>
      <c r="W48" s="14">
        <f t="shared" si="4"/>
        <v>40</v>
      </c>
      <c r="X48" s="15">
        <f t="shared" si="42"/>
        <v>40</v>
      </c>
      <c r="Y48" s="16">
        <f>M48+X48</f>
        <v>74</v>
      </c>
      <c r="Z48" s="17">
        <f>SUMPRODUCT(($D48:$L48-$D$3:$L$3&lt;=--Z$1)+($N48:$V48-$N$3:$V$3&lt;=--Z$1))</f>
        <v>2</v>
      </c>
      <c r="AA48" s="18">
        <f>SUMPRODUCT(($D48:$L48-$D$3:$L$3=--AA$1)+($N48:$V48-$N$3:$V$3=--AA$1))</f>
        <v>1</v>
      </c>
      <c r="AB48" s="18">
        <f>SUMPRODUCT(($D48:$L48-$D$3:$L$3=--AB$1)+($N48:$V48-$N$3:$V$3=--AB$1))</f>
        <v>9</v>
      </c>
      <c r="AC48" s="18">
        <f>SUMPRODUCT(($D48:$L48-$D$3:$L$3=--AC$1)+($N48:$V48-$N$3:$V$3=--AC$1))</f>
        <v>5</v>
      </c>
      <c r="AD48" s="19">
        <f>SUMPRODUCT(($D48:$L48-$D$3:$L$3&gt;=--AD$1)+($N48:$V48-$N$3:$V$3&gt;=--AD$1))</f>
        <v>1</v>
      </c>
      <c r="AE48" s="38">
        <f>SUMPRODUCT(Z48:AD48/{100,100000,100000000,100000000000,100000000000000})</f>
        <v>2.0010090050010001E-2</v>
      </c>
      <c r="AF48" s="3"/>
      <c r="AG48" s="3"/>
      <c r="AH48" s="3"/>
      <c r="AI48" s="3"/>
      <c r="AJ48" s="3"/>
    </row>
    <row r="49" spans="1:36">
      <c r="A49" s="54"/>
      <c r="B49" s="49"/>
      <c r="C49" s="20" t="s">
        <v>24</v>
      </c>
      <c r="D49" s="43">
        <f>IF(D48=(D$3+3),0, IF(D48=(D$3+2),1, IF(D48=(D$3+1),2, IF(D48=D$3, 3, IF(D48=(D$3-1),5, IF(D48=(D$3-2),8, IF(D48=(D$3-3),12, 0)))))))</f>
        <v>5</v>
      </c>
      <c r="E49" s="43">
        <f>IF(E48=(E$3+3),0, IF(E48=(E$3+2),1, IF(E48=(E$3+1),2, IF(E48=E$3, 3, IF(E48=(E$3-1),5, IF(E48=(E$3-2),8, IF(E48=(E$3-3),12, 0)))))))</f>
        <v>3</v>
      </c>
      <c r="F49" s="43">
        <f t="shared" ref="F49:L49" si="55">IF(F48=(F$3+3),0, IF(F48=(F$3+2),1, IF(F48=(F$3+1),2, IF(F48=F$3, 3, IF(F48=(F$3-1),5, IF(F48=(F$3-2),8, IF(F48=(F$3-3),12, 0)))))))</f>
        <v>3</v>
      </c>
      <c r="G49" s="43">
        <f t="shared" si="55"/>
        <v>3</v>
      </c>
      <c r="H49" s="43">
        <f t="shared" si="55"/>
        <v>2</v>
      </c>
      <c r="I49" s="43">
        <f t="shared" si="55"/>
        <v>3</v>
      </c>
      <c r="J49" s="43">
        <f t="shared" si="55"/>
        <v>3</v>
      </c>
      <c r="K49" s="43">
        <f t="shared" si="55"/>
        <v>3</v>
      </c>
      <c r="L49" s="43">
        <f t="shared" si="55"/>
        <v>8</v>
      </c>
      <c r="M49" s="21">
        <f t="shared" si="41"/>
        <v>33</v>
      </c>
      <c r="N49" s="42">
        <f>IF(N48=(N$3+3),0, IF(N48=(N$3+2),1, IF(N48=(N$3+1),2, IF(N48=N$3, 3, IF(N48=(N$3-1),5, IF(N48=(N$3-2),8, IF(N48=(N$3-3),12, 0)))))))</f>
        <v>3</v>
      </c>
      <c r="O49" s="42">
        <f t="shared" ref="O49:V49" si="56">IF(O48=(O$3+3),0, IF(O48=(O$3+2),1, IF(O48=(O$3+1),2, IF(O48=O$3, 3, IF(O48=(O$3-1),5, IF(O48=(O$3-2),8, IF(O48=(O$3-3),12, 0)))))))</f>
        <v>8</v>
      </c>
      <c r="P49" s="42">
        <f t="shared" si="56"/>
        <v>1</v>
      </c>
      <c r="Q49" s="42">
        <f t="shared" si="56"/>
        <v>2</v>
      </c>
      <c r="R49" s="42">
        <f t="shared" si="56"/>
        <v>2</v>
      </c>
      <c r="S49" s="42">
        <f t="shared" si="56"/>
        <v>2</v>
      </c>
      <c r="T49" s="42">
        <f t="shared" si="56"/>
        <v>3</v>
      </c>
      <c r="U49" s="42">
        <f t="shared" si="56"/>
        <v>3</v>
      </c>
      <c r="V49" s="42">
        <f t="shared" si="56"/>
        <v>2</v>
      </c>
      <c r="W49" s="21">
        <f t="shared" si="4"/>
        <v>26</v>
      </c>
      <c r="X49" s="22">
        <f t="shared" si="42"/>
        <v>26</v>
      </c>
      <c r="Y49" s="23">
        <f>M49+X49</f>
        <v>59</v>
      </c>
      <c r="Z49" s="24"/>
      <c r="AA49" s="25"/>
      <c r="AB49" s="25"/>
      <c r="AC49" s="25"/>
      <c r="AD49" s="26"/>
      <c r="AE49" s="38"/>
      <c r="AF49" s="3"/>
      <c r="AG49" s="3"/>
      <c r="AH49" s="3"/>
      <c r="AI49" s="3"/>
      <c r="AJ49" s="3"/>
    </row>
  </sheetData>
  <mergeCells count="48">
    <mergeCell ref="B40:B41"/>
    <mergeCell ref="A44:A45"/>
    <mergeCell ref="B44:B45"/>
    <mergeCell ref="A46:A47"/>
    <mergeCell ref="B46:B47"/>
    <mergeCell ref="A42:A43"/>
    <mergeCell ref="B42:B43"/>
    <mergeCell ref="B34:B35"/>
    <mergeCell ref="A36:A37"/>
    <mergeCell ref="B36:B37"/>
    <mergeCell ref="A38:A39"/>
    <mergeCell ref="B38:B39"/>
    <mergeCell ref="A48:A49"/>
    <mergeCell ref="A12:A13"/>
    <mergeCell ref="A14:A15"/>
    <mergeCell ref="A16:A17"/>
    <mergeCell ref="A18:A19"/>
    <mergeCell ref="A20:A21"/>
    <mergeCell ref="A22:A23"/>
    <mergeCell ref="A24:A25"/>
    <mergeCell ref="A26:A27"/>
    <mergeCell ref="A28:A29"/>
    <mergeCell ref="A30:A31"/>
    <mergeCell ref="A32:A33"/>
    <mergeCell ref="A34:A35"/>
    <mergeCell ref="A40:A41"/>
    <mergeCell ref="B28:B29"/>
    <mergeCell ref="B30:B31"/>
    <mergeCell ref="B32:B33"/>
    <mergeCell ref="B48:B49"/>
    <mergeCell ref="B1:B3"/>
    <mergeCell ref="B16:B17"/>
    <mergeCell ref="B18:B19"/>
    <mergeCell ref="B20:B21"/>
    <mergeCell ref="B22:B23"/>
    <mergeCell ref="B24:B25"/>
    <mergeCell ref="B26:B27"/>
    <mergeCell ref="B4:B5"/>
    <mergeCell ref="B6:B7"/>
    <mergeCell ref="B8:B9"/>
    <mergeCell ref="B10:B11"/>
    <mergeCell ref="B12:B13"/>
    <mergeCell ref="B14:B15"/>
    <mergeCell ref="A1:A3"/>
    <mergeCell ref="A4:A5"/>
    <mergeCell ref="A6:A7"/>
    <mergeCell ref="A8:A9"/>
    <mergeCell ref="A10:A11"/>
  </mergeCells>
  <conditionalFormatting sqref="M2:M5 X2:X5">
    <cfRule type="cellIs" priority="199" stopIfTrue="1" operator="equal">
      <formula>0</formula>
    </cfRule>
    <cfRule type="expression" dxfId="49" priority="200" stopIfTrue="1">
      <formula>M2=OFFSET(CoursePar,0,COLUMN()-1)</formula>
    </cfRule>
    <cfRule type="expression" dxfId="48" priority="201" stopIfTrue="1">
      <formula>M2&lt;OFFSET(CoursePar,0,COLUMN()-1)</formula>
    </cfRule>
  </conditionalFormatting>
  <conditionalFormatting sqref="M1">
    <cfRule type="cellIs" priority="193" stopIfTrue="1" operator="equal">
      <formula>0</formula>
    </cfRule>
    <cfRule type="expression" dxfId="47" priority="194" stopIfTrue="1">
      <formula>M1=OFFSET(CoursePar,0,COLUMN()-1)</formula>
    </cfRule>
    <cfRule type="expression" dxfId="46" priority="195" stopIfTrue="1">
      <formula>M1&lt;OFFSET(CoursePar,0,COLUMN()-1)</formula>
    </cfRule>
  </conditionalFormatting>
  <conditionalFormatting sqref="X1">
    <cfRule type="cellIs" priority="190" stopIfTrue="1" operator="equal">
      <formula>0</formula>
    </cfRule>
    <cfRule type="expression" dxfId="45" priority="191" stopIfTrue="1">
      <formula>X1=OFFSET(CoursePar,0,COLUMN()-1)</formula>
    </cfRule>
    <cfRule type="expression" dxfId="44" priority="192" stopIfTrue="1">
      <formula>X1&lt;OFFSET(CoursePar,0,COLUMN()-1)</formula>
    </cfRule>
  </conditionalFormatting>
  <conditionalFormatting sqref="M6:M31 X6:X31">
    <cfRule type="cellIs" priority="187" stopIfTrue="1" operator="equal">
      <formula>0</formula>
    </cfRule>
    <cfRule type="expression" dxfId="43" priority="188" stopIfTrue="1">
      <formula>M6=OFFSET(CoursePar,0,COLUMN()-1)</formula>
    </cfRule>
    <cfRule type="expression" dxfId="42" priority="189" stopIfTrue="1">
      <formula>M6&lt;OFFSET(CoursePar,0,COLUMN()-1)</formula>
    </cfRule>
  </conditionalFormatting>
  <conditionalFormatting sqref="M32:M33 X32:X33">
    <cfRule type="cellIs" priority="175" stopIfTrue="1" operator="equal">
      <formula>0</formula>
    </cfRule>
    <cfRule type="expression" dxfId="41" priority="176" stopIfTrue="1">
      <formula>M32=OFFSET(CoursePar,0,COLUMN()-1)</formula>
    </cfRule>
    <cfRule type="expression" dxfId="40" priority="177" stopIfTrue="1">
      <formula>M32&lt;OFFSET(CoursePar,0,COLUMN()-1)</formula>
    </cfRule>
  </conditionalFormatting>
  <conditionalFormatting sqref="M48:M49 X48:X49">
    <cfRule type="cellIs" priority="154" stopIfTrue="1" operator="equal">
      <formula>0</formula>
    </cfRule>
    <cfRule type="expression" dxfId="39" priority="155" stopIfTrue="1">
      <formula>M48=OFFSET(CoursePar,0,COLUMN()-1)</formula>
    </cfRule>
    <cfRule type="expression" dxfId="38" priority="156" stopIfTrue="1">
      <formula>M48&lt;OFFSET(CoursePar,0,COLUMN()-1)</formula>
    </cfRule>
  </conditionalFormatting>
  <conditionalFormatting sqref="M34:M35 X34:X35">
    <cfRule type="cellIs" priority="172" stopIfTrue="1" operator="equal">
      <formula>0</formula>
    </cfRule>
    <cfRule type="expression" dxfId="37" priority="173" stopIfTrue="1">
      <formula>M34=OFFSET(CoursePar,0,COLUMN()-1)</formula>
    </cfRule>
    <cfRule type="expression" dxfId="36" priority="174" stopIfTrue="1">
      <formula>M34&lt;OFFSET(CoursePar,0,COLUMN()-1)</formula>
    </cfRule>
  </conditionalFormatting>
  <conditionalFormatting sqref="M36:M37 X36:X37">
    <cfRule type="cellIs" priority="169" stopIfTrue="1" operator="equal">
      <formula>0</formula>
    </cfRule>
    <cfRule type="expression" dxfId="35" priority="170" stopIfTrue="1">
      <formula>M36=OFFSET(CoursePar,0,COLUMN()-1)</formula>
    </cfRule>
    <cfRule type="expression" dxfId="34" priority="171" stopIfTrue="1">
      <formula>M36&lt;OFFSET(CoursePar,0,COLUMN()-1)</formula>
    </cfRule>
  </conditionalFormatting>
  <conditionalFormatting sqref="M38:M39 X38:X39">
    <cfRule type="cellIs" priority="166" stopIfTrue="1" operator="equal">
      <formula>0</formula>
    </cfRule>
    <cfRule type="expression" dxfId="33" priority="167" stopIfTrue="1">
      <formula>M38=OFFSET(CoursePar,0,COLUMN()-1)</formula>
    </cfRule>
    <cfRule type="expression" dxfId="32" priority="168" stopIfTrue="1">
      <formula>M38&lt;OFFSET(CoursePar,0,COLUMN()-1)</formula>
    </cfRule>
  </conditionalFormatting>
  <conditionalFormatting sqref="M40:M41 X40:X41">
    <cfRule type="cellIs" priority="163" stopIfTrue="1" operator="equal">
      <formula>0</formula>
    </cfRule>
    <cfRule type="expression" dxfId="31" priority="164" stopIfTrue="1">
      <formula>M40=OFFSET(CoursePar,0,COLUMN()-1)</formula>
    </cfRule>
    <cfRule type="expression" dxfId="30" priority="165" stopIfTrue="1">
      <formula>M40&lt;OFFSET(CoursePar,0,COLUMN()-1)</formula>
    </cfRule>
  </conditionalFormatting>
  <conditionalFormatting sqref="M44:M45 X44:X45">
    <cfRule type="cellIs" priority="160" stopIfTrue="1" operator="equal">
      <formula>0</formula>
    </cfRule>
    <cfRule type="expression" dxfId="29" priority="161" stopIfTrue="1">
      <formula>M44=OFFSET(CoursePar,0,COLUMN()-1)</formula>
    </cfRule>
    <cfRule type="expression" dxfId="28" priority="162" stopIfTrue="1">
      <formula>M44&lt;OFFSET(CoursePar,0,COLUMN()-1)</formula>
    </cfRule>
  </conditionalFormatting>
  <conditionalFormatting sqref="M46:M47 X46:X47">
    <cfRule type="cellIs" priority="157" stopIfTrue="1" operator="equal">
      <formula>0</formula>
    </cfRule>
    <cfRule type="expression" dxfId="27" priority="158" stopIfTrue="1">
      <formula>M46=OFFSET(CoursePar,0,COLUMN()-1)</formula>
    </cfRule>
    <cfRule type="expression" dxfId="26" priority="159" stopIfTrue="1">
      <formula>M46&lt;OFFSET(CoursePar,0,COLUMN()-1)</formula>
    </cfRule>
  </conditionalFormatting>
  <conditionalFormatting sqref="M42:M43 X42:X43">
    <cfRule type="cellIs" priority="151" stopIfTrue="1" operator="equal">
      <formula>0</formula>
    </cfRule>
    <cfRule type="expression" dxfId="25" priority="152" stopIfTrue="1">
      <formula>M42=OFFSET(CoursePar,0,COLUMN()-1)</formula>
    </cfRule>
    <cfRule type="expression" dxfId="24" priority="153" stopIfTrue="1">
      <formula>M42&lt;OFFSET(CoursePar,0,COLUMN()-1)</formula>
    </cfRule>
  </conditionalFormatting>
  <conditionalFormatting sqref="W2:W5">
    <cfRule type="cellIs" priority="148" stopIfTrue="1" operator="equal">
      <formula>0</formula>
    </cfRule>
    <cfRule type="expression" dxfId="23" priority="149" stopIfTrue="1">
      <formula>W2=OFFSET(CoursePar,0,COLUMN()-1)</formula>
    </cfRule>
    <cfRule type="expression" dxfId="22" priority="150" stopIfTrue="1">
      <formula>W2&lt;OFFSET(CoursePar,0,COLUMN()-1)</formula>
    </cfRule>
  </conditionalFormatting>
  <conditionalFormatting sqref="W1">
    <cfRule type="cellIs" priority="145" stopIfTrue="1" operator="equal">
      <formula>0</formula>
    </cfRule>
    <cfRule type="expression" dxfId="21" priority="146" stopIfTrue="1">
      <formula>W1=OFFSET(CoursePar,0,COLUMN()-1)</formula>
    </cfRule>
    <cfRule type="expression" dxfId="20" priority="147" stopIfTrue="1">
      <formula>W1&lt;OFFSET(CoursePar,0,COLUMN()-1)</formula>
    </cfRule>
  </conditionalFormatting>
  <conditionalFormatting sqref="W6:W31">
    <cfRule type="cellIs" priority="142" stopIfTrue="1" operator="equal">
      <formula>0</formula>
    </cfRule>
    <cfRule type="expression" dxfId="19" priority="143" stopIfTrue="1">
      <formula>W6=OFFSET(CoursePar,0,COLUMN()-1)</formula>
    </cfRule>
    <cfRule type="expression" dxfId="18" priority="144" stopIfTrue="1">
      <formula>W6&lt;OFFSET(CoursePar,0,COLUMN()-1)</formula>
    </cfRule>
  </conditionalFormatting>
  <conditionalFormatting sqref="W32:W33">
    <cfRule type="cellIs" priority="139" stopIfTrue="1" operator="equal">
      <formula>0</formula>
    </cfRule>
    <cfRule type="expression" dxfId="17" priority="140" stopIfTrue="1">
      <formula>W32=OFFSET(CoursePar,0,COLUMN()-1)</formula>
    </cfRule>
    <cfRule type="expression" dxfId="16" priority="141" stopIfTrue="1">
      <formula>W32&lt;OFFSET(CoursePar,0,COLUMN()-1)</formula>
    </cfRule>
  </conditionalFormatting>
  <conditionalFormatting sqref="W48:W49">
    <cfRule type="cellIs" priority="118" stopIfTrue="1" operator="equal">
      <formula>0</formula>
    </cfRule>
    <cfRule type="expression" dxfId="15" priority="119" stopIfTrue="1">
      <formula>W48=OFFSET(CoursePar,0,COLUMN()-1)</formula>
    </cfRule>
    <cfRule type="expression" dxfId="14" priority="120" stopIfTrue="1">
      <formula>W48&lt;OFFSET(CoursePar,0,COLUMN()-1)</formula>
    </cfRule>
  </conditionalFormatting>
  <conditionalFormatting sqref="W34:W35">
    <cfRule type="cellIs" priority="136" stopIfTrue="1" operator="equal">
      <formula>0</formula>
    </cfRule>
    <cfRule type="expression" dxfId="13" priority="137" stopIfTrue="1">
      <formula>W34=OFFSET(CoursePar,0,COLUMN()-1)</formula>
    </cfRule>
    <cfRule type="expression" dxfId="12" priority="138" stopIfTrue="1">
      <formula>W34&lt;OFFSET(CoursePar,0,COLUMN()-1)</formula>
    </cfRule>
  </conditionalFormatting>
  <conditionalFormatting sqref="W36:W37">
    <cfRule type="cellIs" priority="133" stopIfTrue="1" operator="equal">
      <formula>0</formula>
    </cfRule>
    <cfRule type="expression" dxfId="11" priority="134" stopIfTrue="1">
      <formula>W36=OFFSET(CoursePar,0,COLUMN()-1)</formula>
    </cfRule>
    <cfRule type="expression" dxfId="10" priority="135" stopIfTrue="1">
      <formula>W36&lt;OFFSET(CoursePar,0,COLUMN()-1)</formula>
    </cfRule>
  </conditionalFormatting>
  <conditionalFormatting sqref="W38:W39">
    <cfRule type="cellIs" priority="130" stopIfTrue="1" operator="equal">
      <formula>0</formula>
    </cfRule>
    <cfRule type="expression" dxfId="9" priority="131" stopIfTrue="1">
      <formula>W38=OFFSET(CoursePar,0,COLUMN()-1)</formula>
    </cfRule>
    <cfRule type="expression" dxfId="8" priority="132" stopIfTrue="1">
      <formula>W38&lt;OFFSET(CoursePar,0,COLUMN()-1)</formula>
    </cfRule>
  </conditionalFormatting>
  <conditionalFormatting sqref="W40:W41">
    <cfRule type="cellIs" priority="127" stopIfTrue="1" operator="equal">
      <formula>0</formula>
    </cfRule>
    <cfRule type="expression" dxfId="7" priority="128" stopIfTrue="1">
      <formula>W40=OFFSET(CoursePar,0,COLUMN()-1)</formula>
    </cfRule>
    <cfRule type="expression" dxfId="6" priority="129" stopIfTrue="1">
      <formula>W40&lt;OFFSET(CoursePar,0,COLUMN()-1)</formula>
    </cfRule>
  </conditionalFormatting>
  <conditionalFormatting sqref="W44:W45">
    <cfRule type="cellIs" priority="124" stopIfTrue="1" operator="equal">
      <formula>0</formula>
    </cfRule>
    <cfRule type="expression" dxfId="5" priority="125" stopIfTrue="1">
      <formula>W44=OFFSET(CoursePar,0,COLUMN()-1)</formula>
    </cfRule>
    <cfRule type="expression" dxfId="4" priority="126" stopIfTrue="1">
      <formula>W44&lt;OFFSET(CoursePar,0,COLUMN()-1)</formula>
    </cfRule>
  </conditionalFormatting>
  <conditionalFormatting sqref="W46:W47">
    <cfRule type="cellIs" priority="121" stopIfTrue="1" operator="equal">
      <formula>0</formula>
    </cfRule>
    <cfRule type="expression" dxfId="3" priority="122" stopIfTrue="1">
      <formula>W46=OFFSET(CoursePar,0,COLUMN()-1)</formula>
    </cfRule>
    <cfRule type="expression" dxfId="2" priority="123" stopIfTrue="1">
      <formula>W46&lt;OFFSET(CoursePar,0,COLUMN()-1)</formula>
    </cfRule>
  </conditionalFormatting>
  <conditionalFormatting sqref="W42:W43">
    <cfRule type="cellIs" priority="115" stopIfTrue="1" operator="equal">
      <formula>0</formula>
    </cfRule>
    <cfRule type="expression" dxfId="1" priority="116" stopIfTrue="1">
      <formula>W42=OFFSET(CoursePar,0,COLUMN()-1)</formula>
    </cfRule>
    <cfRule type="expression" dxfId="0" priority="117" stopIfTrue="1">
      <formula>W42&lt;OFFSET(CoursePar,0,COLUMN()-1)</formula>
    </cfRule>
  </conditionalFormatting>
  <hyperlinks>
    <hyperlink ref="AE2" r:id="rId1" xr:uid="{00000000-0004-0000-0000-000000000000}"/>
  </hyperlinks>
  <pageMargins left="0.7" right="0.7" top="0.75" bottom="0.75" header="0.3" footer="0.3"/>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5"/>
  <sheetViews>
    <sheetView workbookViewId="0">
      <selection activeCell="C13" sqref="C13"/>
    </sheetView>
  </sheetViews>
  <sheetFormatPr defaultRowHeight="15"/>
  <cols>
    <col min="1" max="1" width="8.28515625" bestFit="1" customWidth="1"/>
    <col min="2" max="2" width="10.5703125" bestFit="1" customWidth="1"/>
    <col min="3" max="3" width="10.7109375" bestFit="1" customWidth="1"/>
    <col min="4" max="4" width="9.85546875" customWidth="1"/>
    <col min="5" max="5" width="8" bestFit="1" customWidth="1"/>
  </cols>
  <sheetData>
    <row r="1" spans="1:4">
      <c r="A1" s="45" t="s">
        <v>26</v>
      </c>
      <c r="B1" s="45" t="s">
        <v>35</v>
      </c>
      <c r="C1" s="45" t="s">
        <v>23</v>
      </c>
      <c r="D1" s="45" t="s">
        <v>36</v>
      </c>
    </row>
    <row r="2" spans="1:4">
      <c r="A2" s="46" t="s">
        <v>33</v>
      </c>
      <c r="B2" s="47">
        <v>123</v>
      </c>
      <c r="C2" s="47">
        <v>311</v>
      </c>
      <c r="D2" s="47">
        <v>1</v>
      </c>
    </row>
    <row r="3" spans="1:4">
      <c r="A3" s="46" t="s">
        <v>32</v>
      </c>
      <c r="B3" s="47">
        <v>123</v>
      </c>
      <c r="C3" s="47">
        <v>311</v>
      </c>
      <c r="D3" s="47">
        <v>2</v>
      </c>
    </row>
    <row r="4" spans="1:4">
      <c r="A4" s="46" t="s">
        <v>30</v>
      </c>
      <c r="B4" s="47">
        <v>118</v>
      </c>
      <c r="C4" s="47">
        <v>316</v>
      </c>
      <c r="D4" s="47">
        <v>3</v>
      </c>
    </row>
    <row r="5" spans="1:4">
      <c r="A5" s="46" t="s">
        <v>31</v>
      </c>
      <c r="B5" s="47">
        <v>109</v>
      </c>
      <c r="C5" s="47">
        <v>325</v>
      </c>
      <c r="D5" s="47">
        <v>4</v>
      </c>
    </row>
  </sheetData>
  <sortState ref="A2:E5">
    <sortCondition ref="D2"/>
  </sortState>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Course 1</vt:lpstr>
      <vt:lpstr>School</vt:lpstr>
      <vt:lpstr>OverUnders</vt:lpstr>
      <vt:lpstr>Schools</vt:lpstr>
      <vt:lpstr>Totals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RXIE</dc:creator>
  <cp:lastModifiedBy>RXIE</cp:lastModifiedBy>
  <dcterms:created xsi:type="dcterms:W3CDTF">2017-10-28T02:19:43Z</dcterms:created>
  <dcterms:modified xsi:type="dcterms:W3CDTF">2018-07-17T03:18:53Z</dcterms:modified>
</cp:coreProperties>
</file>